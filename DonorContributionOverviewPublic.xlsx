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024E2\EXCELCNV\0ca64c08-f19b-43c1-8f17-d246db725fe2\"/>
    </mc:Choice>
  </mc:AlternateContent>
  <xr:revisionPtr revIDLastSave="281" documentId="8_{951DCA29-3793-434D-AD89-6888AA25B042}" xr6:coauthVersionLast="47" xr6:coauthVersionMax="47" xr10:uidLastSave="{A70EFB51-15A0-49F6-A364-7A1DD5E17917}"/>
  <bookViews>
    <workbookView xWindow="-60" yWindow="-60" windowWidth="15480" windowHeight="11640" activeTab="1" xr2:uid="{47D8DC36-FEB1-4816-9CDF-1F9D5E81675C}"/>
  </bookViews>
  <sheets>
    <sheet name="ANONYMIZED_DONOR_TABLE" sheetId="1" r:id="rId1"/>
    <sheet name="CONTRIBUTION_OVERVIEW" sheetId="3" r:id="rId2"/>
  </sheets>
  <calcPr calcId="191028"/>
  <pivotCaches>
    <pivotCache cacheId="58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<sst xmlns="http://schemas.openxmlformats.org/spreadsheetml/2006/main" count="604" uniqueCount="210">
  <si>
    <t>state</t>
  </si>
  <si>
    <t>country</t>
  </si>
  <si>
    <t>monetary</t>
  </si>
  <si>
    <t>frequency</t>
  </si>
  <si>
    <t>donation_start_date</t>
  </si>
  <si>
    <t>last_donation_date</t>
  </si>
  <si>
    <t>mean_amount</t>
  </si>
  <si>
    <t>med_amount</t>
  </si>
  <si>
    <t>max_amount</t>
  </si>
  <si>
    <t>min_amount</t>
  </si>
  <si>
    <t>recency</t>
  </si>
  <si>
    <t>is_recurring</t>
  </si>
  <si>
    <t>donor_id</t>
  </si>
  <si>
    <t>median_recent_interval</t>
  </si>
  <si>
    <t>is_monthly</t>
  </si>
  <si>
    <t>segment</t>
  </si>
  <si>
    <t>r_score</t>
  </si>
  <si>
    <t>f_score</t>
  </si>
  <si>
    <t>m_score</t>
  </si>
  <si>
    <t>rfm_score</t>
  </si>
  <si>
    <t>TX</t>
  </si>
  <si>
    <t>US</t>
  </si>
  <si>
    <t>D0</t>
  </si>
  <si>
    <t>other</t>
  </si>
  <si>
    <t>AZ</t>
  </si>
  <si>
    <t>D1</t>
  </si>
  <si>
    <t>churned</t>
  </si>
  <si>
    <t>D2</t>
  </si>
  <si>
    <t>champions</t>
  </si>
  <si>
    <t>D3</t>
  </si>
  <si>
    <t>D4</t>
  </si>
  <si>
    <t>D5</t>
  </si>
  <si>
    <t>D6</t>
  </si>
  <si>
    <t>D7</t>
  </si>
  <si>
    <t>loyal_donors</t>
  </si>
  <si>
    <t>D8</t>
  </si>
  <si>
    <t>one_time</t>
  </si>
  <si>
    <t>D9</t>
  </si>
  <si>
    <t>D10</t>
  </si>
  <si>
    <t>D11</t>
  </si>
  <si>
    <t>CO</t>
  </si>
  <si>
    <t>D12</t>
  </si>
  <si>
    <t>D13</t>
  </si>
  <si>
    <t>WA</t>
  </si>
  <si>
    <t>D14</t>
  </si>
  <si>
    <t>D15</t>
  </si>
  <si>
    <t>CA</t>
  </si>
  <si>
    <t>D16</t>
  </si>
  <si>
    <t>D17</t>
  </si>
  <si>
    <t>GA</t>
  </si>
  <si>
    <t>D18</t>
  </si>
  <si>
    <t>D19</t>
  </si>
  <si>
    <t>rec_not_monthly</t>
  </si>
  <si>
    <t>D20</t>
  </si>
  <si>
    <t>D21</t>
  </si>
  <si>
    <t>AL</t>
  </si>
  <si>
    <t>D22</t>
  </si>
  <si>
    <t>D23</t>
  </si>
  <si>
    <t>D24</t>
  </si>
  <si>
    <t>D25</t>
  </si>
  <si>
    <t>FL</t>
  </si>
  <si>
    <t>D26</t>
  </si>
  <si>
    <t>D27</t>
  </si>
  <si>
    <t>D28</t>
  </si>
  <si>
    <t>D29</t>
  </si>
  <si>
    <t>D30</t>
  </si>
  <si>
    <t>D31</t>
  </si>
  <si>
    <t>D32</t>
  </si>
  <si>
    <t>D33</t>
  </si>
  <si>
    <t>UT</t>
  </si>
  <si>
    <t>D34</t>
  </si>
  <si>
    <t>D35</t>
  </si>
  <si>
    <t>NC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</si>
  <si>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</si>
  <si>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</si>
  <si>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</si>
  <si>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</si>
  <si>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</si>
  <si>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</si>
  <si>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</si>
  <si>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</si>
  <si>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</si>
  <si>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</si>
  <si>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</si>
  <si>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</si>
  <si>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</si>
  <si>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</si>
  <si>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</si>
  <si>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</si>
  <si>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</si>
  <si>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OK</t>
  </si>
  <si>
    <t>D53</t>
  </si>
  <si>
    <t>D54</t>
  </si>
  <si>
    <t>D55</t>
  </si>
  <si>
    <t>WY</t>
  </si>
  <si>
    <t>D56</t>
  </si>
  <si>
    <t>D57</t>
  </si>
  <si>
    <t>lapsed</t>
  </si>
  <si>
    <t>D58</t>
  </si>
  <si>
    <t>D59</t>
  </si>
  <si>
    <t>D60</t>
  </si>
  <si>
    <t>D61</t>
  </si>
  <si>
    <t>D62</t>
  </si>
  <si>
    <t>big_spenders</t>
  </si>
  <si>
    <t>D63</t>
  </si>
  <si>
    <t>D64</t>
  </si>
  <si>
    <t>D65</t>
  </si>
  <si>
    <t>D66</t>
  </si>
  <si>
    <t>D67</t>
  </si>
  <si>
    <t>D68</t>
  </si>
  <si>
    <t>OH</t>
  </si>
  <si>
    <t>D69</t>
  </si>
  <si>
    <t>D70</t>
  </si>
  <si>
    <t>WI</t>
  </si>
  <si>
    <t>D71</t>
  </si>
  <si>
    <t>D72</t>
  </si>
  <si>
    <t>D73</t>
  </si>
  <si>
    <t>MD</t>
  </si>
  <si>
    <t>D74</t>
  </si>
  <si>
    <t>D75</t>
  </si>
  <si>
    <t>LA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</si>
  <si>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</si>
  <si>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</si>
  <si>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</si>
  <si>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</si>
  <si>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</si>
  <si>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</si>
  <si>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</si>
  <si>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</si>
  <si>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</si>
  <si>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</si>
  <si>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</si>
  <si>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</si>
  <si>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</si>
  <si>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</si>
  <si>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</si>
  <si>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</si>
  <si>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</si>
  <si>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</si>
  <si>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MN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</si>
  <si>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</si>
  <si>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</si>
  <si>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</si>
  <si>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</si>
  <si>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</si>
  <si>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</si>
  <si>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</si>
  <si>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</si>
  <si>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</si>
  <si>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</si>
  <si>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KS</t>
  </si>
  <si>
    <t>D104</t>
  </si>
  <si>
    <t>D105</t>
  </si>
  <si>
    <t>D106</t>
  </si>
  <si>
    <t>D107</t>
  </si>
  <si>
    <t>D108</t>
  </si>
  <si>
    <t>DC</t>
  </si>
  <si>
    <t>D109</t>
  </si>
  <si>
    <t>D110</t>
  </si>
  <si>
    <t>D111</t>
  </si>
  <si>
    <t>AR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</si>
  <si>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</si>
  <si>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</si>
  <si>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</si>
  <si>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</si>
  <si>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</si>
  <si>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</si>
  <si>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</si>
  <si>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</si>
  <si>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</si>
  <si>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</si>
  <si>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</si>
  <si>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Cebu</t>
  </si>
  <si>
    <t>PHIL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</si>
  <si>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</si>
  <si>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</si>
  <si>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</si>
  <si>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</si>
  <si>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</si>
  <si>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</si>
  <si>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</si>
  <si>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</si>
  <si>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</si>
  <si>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MO</t>
  </si>
  <si>
    <t>D132</t>
  </si>
  <si>
    <t>D133</t>
  </si>
  <si>
    <t>D134</t>
  </si>
  <si>
    <t>D135</t>
  </si>
  <si>
    <t>D136</t>
  </si>
  <si>
    <t>D137</t>
  </si>
  <si>
    <t>D138</t>
  </si>
  <si>
    <t>Sum of Median Donation Amounts</t>
  </si>
  <si>
    <t>Average of Median Donation Amounts</t>
  </si>
  <si>
    <t>Min of Median Donation Amounts</t>
  </si>
  <si>
    <t>Max of Median Donation Amounts</t>
  </si>
  <si>
    <t>Number of Donors</t>
  </si>
  <si>
    <t>Grand Total</t>
  </si>
  <si>
    <t>Median Donation Amounts:</t>
  </si>
  <si>
    <t xml:space="preserve">This value shows the typical amount a donor gives. For donors who give on a recurring monthly </t>
  </si>
  <si>
    <t>schedule, this amount is usually the same for each donation unless their contribution changes.</t>
  </si>
  <si>
    <t>For one-time donors, the median donation amount simply reflects the value of their single gift.</t>
  </si>
  <si>
    <t>One-Time Donors:</t>
  </si>
  <si>
    <t>The total revenue contributed by one-time donors is approximately $32,000. This represents a potential opportunity</t>
  </si>
  <si>
    <t>for future revenue if these donors are successfully re-engaged and choose to give again at a similar level.</t>
  </si>
  <si>
    <t xml:space="preserve">Lapsed Donors: </t>
  </si>
  <si>
    <t>The typical monthly revenue given by lapsed donors is approximately $330. This represents contributions that have recently</t>
  </si>
  <si>
    <t>been lost but have the potential to be recovered by re-engaging these donors before they have fully stopped giving (churned).</t>
  </si>
  <si>
    <t>Churned Donors:</t>
  </si>
  <si>
    <t xml:space="preserve">The typical monthly contributions given by churned donors is approximately $3,000.  This represents revenue that is currently </t>
  </si>
  <si>
    <t xml:space="preserve">considered fully lost, as these donors have been disengaged for an extended period of time.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</si>
</sst>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18" fillId="33" borderId="0" xfId="0" applyFont="1" applyFill="1"/>
    <xf numFmtId="14" fontId="18" fillId="33" borderId="0" xfId="0" applyNumberFormat="1" applyFont="1" applyFill="1"/>
    <xf numFmtId="0" fontId="19" fillId="0" borderId="0" xfId="0" applyFont="1"/>
    <xf numFmtId="164" fontId="0" fillId="0" borderId="0" xfId="0" applyNumberFormat="1"/>
    <xf numFmtId="0" fontId="20" fillId="0" borderId="0" xfId="0" applyFont="1"/>
    <xf numFmtId="0" fontId="18" fillId="0" borderId="0" xfId="0" applyFont="1"/>
    <xf numFmtId="0" fontId="0" fillId="0" borderId="0" xfId="0" pivotButton="1"/>
    <xf numFmtId="0" fontId="21" fillId="34" borderId="0" xfId="0" applyFont="1" applyFill="1"/>
    <xf numFmtId="0" fontId="23" fillId="34" borderId="0" xfId="0" applyFont="1" applyFill="1"/>
    <xf numFmtId="0" fontId="22" fillId="34" borderId="0" xfId="0" applyFont="1" applyFill="1"/>
    <xf numFmtId="0" fontId="0" fillId="34" borderId="0" xfId="0" applyFill="1"/>
    <xf numFmtId="0" fontId="24" fillId="34" borderId="0" xfId="0" applyFont="1" applyFill="1"/>
    <xf numFmtId="0" fontId="17" fillId="34" borderId="0" xfId="0" applyFont="1" applyFill="1"/>
    <xf numFmtId="0" fontId="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numFmt numFmtId="164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1.925558796298" createdVersion="8" refreshedVersion="8" minRefreshableVersion="3" recordCount="139" xr:uid="{F82CEB05-AA6C-4E2B-A5F8-592AC89ECA3C}">
  <cacheSource type="worksheet">
    <worksheetSource name="anonymized_donor_table"/>
  </cacheSource>
  <cacheFields count="20">
    <cacheField name="state" numFmtId="0">
      <sharedItems/>
    </cacheField>
    <cacheField name="country" numFmtId="0">
      <sharedItems/>
    </cacheField>
    <cacheField name="monetary" numFmtId="0">
      <sharedItems containsSemiMixedTypes="0" containsString="0" containsNumber="1" minValue="12" maxValue="14234.25"/>
    </cacheField>
    <cacheField name="frequency" numFmtId="0">
      <sharedItems containsSemiMixedTypes="0" containsString="0" containsNumber="1" containsInteger="1" minValue="1" maxValue="48"/>
    </cacheField>
    <cacheField name="donation_start_date" numFmtId="14">
      <sharedItems containsSemiMixedTypes="0" containsNonDate="0" containsDate="1" containsString="0" minDate="2022-02-22T04:01:00" maxDate="2025-09-21T19:26:04"/>
    </cacheField>
    <cacheField name="last_donation_date" numFmtId="14">
      <sharedItems containsSemiMixedTypes="0" containsNonDate="0" containsDate="1" containsString="0" minDate="2022-02-22T04:01:00" maxDate="2025-12-12T09:00:00"/>
    </cacheField>
    <cacheField name="mean_amount" numFmtId="0">
      <sharedItems containsSemiMixedTypes="0" containsString="0" containsNumber="1" minValue="10.199999999999999" maxValue="10000"/>
    </cacheField>
    <cacheField name="med_amount" numFmtId="0">
      <sharedItems containsSemiMixedTypes="0" containsString="0" containsNumber="1" minValue="10.3" maxValue="10000"/>
    </cacheField>
    <cacheField name="max_amount" numFmtId="0">
      <sharedItems containsSemiMixedTypes="0" containsString="0" containsNumber="1" minValue="10.3" maxValue="10000"/>
    </cacheField>
    <cacheField name="min_amount" numFmtId="0">
      <sharedItems containsSemiMixedTypes="0" containsString="0" containsNumber="1" minValue="10" maxValue="10000"/>
    </cacheField>
    <cacheField name="recency" numFmtId="0">
      <sharedItems containsSemiMixedTypes="0" containsString="0" containsNumber="1" containsInteger="1" minValue="-1" maxValue="1388"/>
    </cacheField>
    <cacheField name="is_recurring" numFmtId="0">
      <sharedItems/>
    </cacheField>
    <cacheField name="donor_id" numFmtId="0">
      <sharedItems/>
    </cacheField>
    <cacheField name="median_recent_interval" numFmtId="0">
      <sharedItems containsString="0" containsBlank="1" containsNumber="1" minValue="13" maxValue="406"/>
    </cacheField>
    <cacheField name="is_monthly" numFmtId="0">
      <sharedItems/>
    </cacheField>
    <cacheField name="segment" numFmtId="0">
      <sharedItems count="8">
        <s v="other"/>
        <s v="churned"/>
        <s v="champions"/>
        <s v="loyal_donors"/>
        <s v="one_time"/>
        <s v="rec_not_monthly"/>
        <s v="lapsed"/>
        <s v="big_spenders"/>
      </sharedItems>
    </cacheField>
    <cacheField name="r_score" numFmtId="0">
      <sharedItems containsString="0" containsBlank="1" containsNumber="1" containsInteger="1" minValue="1" maxValue="3"/>
    </cacheField>
    <cacheField name="f_score" numFmtId="0">
      <sharedItems containsString="0" containsBlank="1" containsNumber="1" containsInteger="1" minValue="1" maxValue="4"/>
    </cacheField>
    <cacheField name="m_score" numFmtId="0">
      <sharedItems containsString="0" containsBlank="1" containsNumber="1" containsInteger="1" minValue="1" maxValue="4"/>
    </cacheField>
    <cacheField name="rfm_score" numFmtId="0">
      <sharedItems containsString="0" containsBlank="1" containsNumber="1" containsInteger="1" minValue="111" maxValue="3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s v="TX"/>
    <s v="US"/>
    <n v="1400"/>
    <n v="14"/>
    <d v="2024-10-12T14:21:52"/>
    <d v="2025-11-12T19:12:12"/>
    <n v="100"/>
    <n v="100"/>
    <n v="100"/>
    <n v="100"/>
    <n v="28"/>
    <b v="1"/>
    <s v="D0"/>
    <n v="30"/>
    <b v="1"/>
    <x v="0"/>
    <n v="3"/>
    <n v="1"/>
    <n v="2"/>
    <n v="312"/>
  </r>
  <r>
    <s v="AZ"/>
    <s v="US"/>
    <n v="3106"/>
    <n v="30"/>
    <d v="2022-03-18T23:40:00"/>
    <d v="2025-01-16T13:12:46"/>
    <n v="103.533333333333"/>
    <n v="100"/>
    <n v="206"/>
    <n v="100"/>
    <n v="329"/>
    <b v="1"/>
    <s v="D1"/>
    <n v="30"/>
    <b v="1"/>
    <x v="1"/>
    <n v="1"/>
    <n v="3"/>
    <n v="3"/>
    <n v="133"/>
  </r>
  <r>
    <s v="AZ"/>
    <s v="US"/>
    <n v="3900"/>
    <n v="39"/>
    <d v="2022-09-15T20:03:44"/>
    <d v="2025-11-15T19:21:24"/>
    <n v="100"/>
    <n v="100"/>
    <n v="100"/>
    <n v="100"/>
    <n v="25"/>
    <b v="1"/>
    <s v="D2"/>
    <n v="30"/>
    <b v="1"/>
    <x v="2"/>
    <n v="3"/>
    <n v="4"/>
    <n v="4"/>
    <n v="344"/>
  </r>
  <r>
    <s v="TX"/>
    <s v="US"/>
    <n v="2878"/>
    <n v="26"/>
    <d v="2022-05-14T04:48:00"/>
    <d v="2024-10-01T15:22:45"/>
    <n v="110.692307692307"/>
    <n v="103"/>
    <n v="206"/>
    <n v="103"/>
    <n v="435"/>
    <b v="1"/>
    <s v="D3"/>
    <n v="30"/>
    <b v="1"/>
    <x v="1"/>
    <n v="1"/>
    <n v="3"/>
    <n v="3"/>
    <n v="133"/>
  </r>
  <r>
    <s v="AZ"/>
    <s v="US"/>
    <n v="865.2"/>
    <n v="21"/>
    <d v="2022-10-16T17:49:36"/>
    <d v="2024-06-16T15:01:18"/>
    <n v="41.2"/>
    <n v="41.2"/>
    <n v="41.2"/>
    <n v="41.2"/>
    <n v="542"/>
    <b v="1"/>
    <s v="D4"/>
    <n v="30"/>
    <b v="1"/>
    <x v="1"/>
    <n v="1"/>
    <n v="3"/>
    <n v="1"/>
    <n v="131"/>
  </r>
  <r>
    <s v="AZ"/>
    <s v="US"/>
    <n v="370.8"/>
    <n v="18"/>
    <d v="2022-10-06T17:46:55"/>
    <d v="2024-03-06T17:45:58"/>
    <n v="20.6"/>
    <n v="20.6"/>
    <n v="20.6"/>
    <n v="20.6"/>
    <n v="644"/>
    <b v="1"/>
    <s v="D5"/>
    <n v="30"/>
    <b v="1"/>
    <x v="1"/>
    <n v="1"/>
    <n v="2"/>
    <n v="1"/>
    <n v="121"/>
  </r>
  <r>
    <s v="AZ"/>
    <s v="US"/>
    <n v="4500"/>
    <n v="41"/>
    <d v="2022-03-22T19:18:00"/>
    <d v="2025-11-24T19:14:27"/>
    <n v="109.75609756097499"/>
    <n v="100"/>
    <n v="500"/>
    <n v="100"/>
    <n v="16"/>
    <b v="1"/>
    <s v="D6"/>
    <n v="30"/>
    <b v="1"/>
    <x v="2"/>
    <n v="3"/>
    <n v="4"/>
    <n v="4"/>
    <n v="344"/>
  </r>
  <r>
    <s v="AZ"/>
    <s v="US"/>
    <n v="2000"/>
    <n v="20"/>
    <d v="2024-05-01T21:00:11"/>
    <d v="2025-12-01T19:25:46"/>
    <n v="100"/>
    <n v="100"/>
    <n v="100"/>
    <n v="100"/>
    <n v="9"/>
    <b v="1"/>
    <s v="D7"/>
    <n v="29"/>
    <b v="1"/>
    <x v="3"/>
    <n v="3"/>
    <n v="3"/>
    <n v="3"/>
    <n v="333"/>
  </r>
  <r>
    <s v="AZ"/>
    <s v="US"/>
    <n v="50"/>
    <n v="1"/>
    <d v="2022-09-15T03:15:17"/>
    <d v="2022-09-15T03:15:17"/>
    <n v="50"/>
    <n v="50"/>
    <n v="50"/>
    <n v="50"/>
    <n v="1183"/>
    <b v="0"/>
    <s v="D8"/>
    <m/>
    <b v="0"/>
    <x v="4"/>
    <m/>
    <m/>
    <m/>
    <m/>
  </r>
  <r>
    <s v="AZ"/>
    <s v="US"/>
    <n v="103"/>
    <n v="1"/>
    <d v="2022-05-14T05:15:00"/>
    <d v="2022-05-14T05:15:00"/>
    <n v="103"/>
    <n v="103"/>
    <n v="103"/>
    <n v="103"/>
    <n v="1307"/>
    <b v="0"/>
    <s v="D9"/>
    <m/>
    <b v="0"/>
    <x v="4"/>
    <m/>
    <m/>
    <m/>
    <m/>
  </r>
  <r>
    <s v="TX"/>
    <s v="US"/>
    <n v="1400"/>
    <n v="14"/>
    <d v="2024-11-01T15:25:40"/>
    <d v="2025-12-01T19:24:42"/>
    <n v="100"/>
    <n v="100"/>
    <n v="100"/>
    <n v="100"/>
    <n v="9"/>
    <b v="1"/>
    <s v="D10"/>
    <n v="29"/>
    <b v="1"/>
    <x v="0"/>
    <n v="3"/>
    <n v="1"/>
    <n v="2"/>
    <n v="312"/>
  </r>
  <r>
    <s v="TX"/>
    <s v="US"/>
    <n v="2163"/>
    <n v="14"/>
    <d v="2024-10-15T14:56:28"/>
    <d v="2025-11-15T19:21:25"/>
    <n v="154.5"/>
    <n v="154.5"/>
    <n v="154.5"/>
    <n v="154.5"/>
    <n v="25"/>
    <b v="1"/>
    <s v="D11"/>
    <n v="30"/>
    <b v="1"/>
    <x v="0"/>
    <n v="3"/>
    <n v="1"/>
    <n v="3"/>
    <n v="313"/>
  </r>
  <r>
    <s v="CO"/>
    <s v="US"/>
    <n v="1957"/>
    <n v="38"/>
    <d v="2022-10-16T17:49:35"/>
    <d v="2025-11-16T19:19:16"/>
    <n v="51.5"/>
    <n v="51.5"/>
    <n v="51.5"/>
    <n v="51.5"/>
    <n v="24"/>
    <b v="1"/>
    <s v="D12"/>
    <n v="31"/>
    <b v="1"/>
    <x v="3"/>
    <n v="3"/>
    <n v="4"/>
    <n v="2"/>
    <n v="342"/>
  </r>
  <r>
    <s v="TX"/>
    <s v="US"/>
    <n v="3000"/>
    <n v="1"/>
    <d v="2025-08-30T19:17:11"/>
    <d v="2025-08-30T19:17:11"/>
    <n v="3000"/>
    <n v="3000"/>
    <n v="3000"/>
    <n v="3000"/>
    <n v="102"/>
    <b v="0"/>
    <s v="D13"/>
    <m/>
    <b v="0"/>
    <x v="4"/>
    <m/>
    <m/>
    <m/>
    <m/>
  </r>
  <r>
    <s v="WA"/>
    <s v="US"/>
    <n v="103"/>
    <n v="1"/>
    <d v="2022-09-15T21:54:07"/>
    <d v="2022-09-15T21:54:07"/>
    <n v="103"/>
    <n v="103"/>
    <n v="103"/>
    <n v="103"/>
    <n v="1182"/>
    <b v="0"/>
    <s v="D14"/>
    <m/>
    <b v="0"/>
    <x v="4"/>
    <m/>
    <m/>
    <m/>
    <m/>
  </r>
  <r>
    <s v="AZ"/>
    <s v="US"/>
    <n v="750"/>
    <n v="15"/>
    <d v="2022-09-27T17:40:39"/>
    <d v="2023-11-27T17:43:33"/>
    <n v="50"/>
    <n v="50"/>
    <n v="50"/>
    <n v="50"/>
    <n v="744"/>
    <b v="1"/>
    <s v="D15"/>
    <n v="30"/>
    <b v="1"/>
    <x v="1"/>
    <n v="1"/>
    <n v="2"/>
    <n v="1"/>
    <n v="121"/>
  </r>
  <r>
    <s v="CA"/>
    <s v="US"/>
    <n v="122.4"/>
    <n v="12"/>
    <d v="2022-08-02T17:53:48"/>
    <d v="2023-08-04T17:55:23"/>
    <n v="10.199999999999999"/>
    <n v="10.3"/>
    <n v="10.3"/>
    <n v="10"/>
    <n v="859"/>
    <b v="1"/>
    <s v="D16"/>
    <n v="30"/>
    <b v="1"/>
    <x v="1"/>
    <n v="1"/>
    <n v="1"/>
    <n v="1"/>
    <n v="111"/>
  </r>
  <r>
    <s v="CO"/>
    <s v="US"/>
    <n v="4223"/>
    <n v="40"/>
    <d v="2022-10-03T18:01:45"/>
    <d v="2025-12-03T19:13:19"/>
    <n v="105.575"/>
    <n v="103"/>
    <n v="206"/>
    <n v="103"/>
    <n v="7"/>
    <b v="1"/>
    <s v="D17"/>
    <n v="30"/>
    <b v="1"/>
    <x v="2"/>
    <n v="3"/>
    <n v="4"/>
    <n v="4"/>
    <n v="344"/>
  </r>
  <r>
    <s v="GA"/>
    <s v="US"/>
    <n v="12"/>
    <n v="1"/>
    <d v="2022-02-22T04:01:00"/>
    <d v="2022-02-22T04:01:00"/>
    <n v="12"/>
    <n v="12"/>
    <n v="12"/>
    <n v="12"/>
    <n v="1388"/>
    <b v="0"/>
    <s v="D18"/>
    <m/>
    <b v="0"/>
    <x v="4"/>
    <m/>
    <m/>
    <m/>
    <m/>
  </r>
  <r>
    <s v="TX"/>
    <s v="US"/>
    <n v="2200"/>
    <n v="2"/>
    <d v="2024-07-01T09:00:00"/>
    <d v="2025-08-11T09:00:00"/>
    <n v="1100"/>
    <n v="1100"/>
    <n v="1200"/>
    <n v="1000"/>
    <n v="122"/>
    <b v="1"/>
    <s v="D19"/>
    <n v="406"/>
    <b v="0"/>
    <x v="5"/>
    <m/>
    <m/>
    <m/>
    <m/>
  </r>
  <r>
    <s v="AZ"/>
    <s v="US"/>
    <n v="480"/>
    <n v="3"/>
    <d v="2022-08-31T17:36:38"/>
    <d v="2022-09-27T23:56:56"/>
    <n v="160"/>
    <n v="160"/>
    <n v="160"/>
    <n v="160"/>
    <n v="1170"/>
    <b v="1"/>
    <s v="D20"/>
    <n v="13"/>
    <b v="1"/>
    <x v="1"/>
    <n v="1"/>
    <n v="1"/>
    <n v="1"/>
    <n v="111"/>
  </r>
  <r>
    <s v="TX"/>
    <s v="US"/>
    <n v="1081.5"/>
    <n v="14"/>
    <d v="2024-10-16T14:30:54"/>
    <d v="2025-11-16T19:19:29"/>
    <n v="77.25"/>
    <n v="77.25"/>
    <n v="77.25"/>
    <n v="77.25"/>
    <n v="24"/>
    <b v="1"/>
    <s v="D21"/>
    <n v="31"/>
    <b v="1"/>
    <x v="0"/>
    <n v="3"/>
    <n v="1"/>
    <n v="2"/>
    <n v="312"/>
  </r>
  <r>
    <s v="AL"/>
    <s v="US"/>
    <n v="1050"/>
    <n v="14"/>
    <d v="2024-11-04T13:12:47"/>
    <d v="2025-12-04T19:12:53"/>
    <n v="75"/>
    <n v="75"/>
    <n v="75"/>
    <n v="75"/>
    <n v="6"/>
    <b v="1"/>
    <s v="D22"/>
    <n v="29"/>
    <b v="1"/>
    <x v="0"/>
    <n v="3"/>
    <n v="1"/>
    <n v="2"/>
    <n v="312"/>
  </r>
  <r>
    <s v="AZ"/>
    <s v="US"/>
    <n v="2850"/>
    <n v="19"/>
    <d v="2022-09-22T17:47:42"/>
    <d v="2024-03-22T17:52:12"/>
    <n v="150"/>
    <n v="150"/>
    <n v="150"/>
    <n v="150"/>
    <n v="628"/>
    <b v="1"/>
    <s v="D23"/>
    <n v="30"/>
    <b v="1"/>
    <x v="1"/>
    <n v="1"/>
    <n v="3"/>
    <n v="3"/>
    <n v="133"/>
  </r>
  <r>
    <s v="GA"/>
    <s v="US"/>
    <n v="1030"/>
    <n v="20"/>
    <d v="2022-09-26T17:44:54"/>
    <d v="2025-01-11T13:11:50"/>
    <n v="51.5"/>
    <n v="51.5"/>
    <n v="51.5"/>
    <n v="51.5"/>
    <n v="334"/>
    <b v="1"/>
    <s v="D24"/>
    <n v="30"/>
    <b v="1"/>
    <x v="1"/>
    <n v="1"/>
    <n v="3"/>
    <n v="2"/>
    <n v="132"/>
  </r>
  <r>
    <s v="AZ"/>
    <s v="US"/>
    <n v="2336"/>
    <n v="41"/>
    <d v="2022-08-11T17:43:49"/>
    <d v="2025-11-18T19:12:53"/>
    <n v="56.975609756097498"/>
    <n v="51.5"/>
    <n v="206"/>
    <n v="50"/>
    <n v="22"/>
    <b v="1"/>
    <s v="D25"/>
    <n v="30"/>
    <b v="1"/>
    <x v="3"/>
    <n v="3"/>
    <n v="4"/>
    <n v="3"/>
    <n v="343"/>
  </r>
  <r>
    <s v="FL"/>
    <s v="US"/>
    <n v="2500"/>
    <n v="1"/>
    <d v="2022-10-17T09:00:00"/>
    <d v="2022-10-17T09:00:00"/>
    <n v="2500"/>
    <n v="2500"/>
    <n v="2500"/>
    <n v="2500"/>
    <n v="1151"/>
    <b v="0"/>
    <s v="D26"/>
    <m/>
    <b v="0"/>
    <x v="4"/>
    <m/>
    <m/>
    <m/>
    <m/>
  </r>
  <r>
    <s v="AZ"/>
    <s v="US"/>
    <n v="1700"/>
    <n v="17"/>
    <d v="2024-08-01T15:38:23"/>
    <d v="2025-12-01T19:27:45"/>
    <n v="100"/>
    <n v="100"/>
    <n v="100"/>
    <n v="100"/>
    <n v="9"/>
    <b v="1"/>
    <s v="D27"/>
    <n v="29"/>
    <b v="1"/>
    <x v="0"/>
    <n v="3"/>
    <n v="2"/>
    <n v="2"/>
    <n v="322"/>
  </r>
  <r>
    <s v="AZ"/>
    <s v="US"/>
    <n v="1648"/>
    <n v="16"/>
    <d v="2022-09-20T18:11:27"/>
    <d v="2023-12-20T18:02:52"/>
    <n v="103"/>
    <n v="103"/>
    <n v="103"/>
    <n v="103"/>
    <n v="721"/>
    <b v="1"/>
    <s v="D28"/>
    <n v="30"/>
    <b v="1"/>
    <x v="1"/>
    <n v="1"/>
    <n v="2"/>
    <n v="2"/>
    <n v="122"/>
  </r>
  <r>
    <s v="TX"/>
    <s v="US"/>
    <n v="2163"/>
    <n v="14"/>
    <d v="2024-11-02T14:13:18"/>
    <d v="2025-12-02T19:14:38"/>
    <n v="154.5"/>
    <n v="154.5"/>
    <n v="154.5"/>
    <n v="154.5"/>
    <n v="8"/>
    <b v="1"/>
    <s v="D29"/>
    <n v="29"/>
    <b v="1"/>
    <x v="0"/>
    <n v="3"/>
    <n v="1"/>
    <n v="3"/>
    <n v="313"/>
  </r>
  <r>
    <s v="TX"/>
    <s v="US"/>
    <n v="144.19999999999999"/>
    <n v="14"/>
    <d v="2024-11-05T13:13:02"/>
    <d v="2025-12-05T19:15:22"/>
    <n v="10.3"/>
    <n v="10.3"/>
    <n v="10.3"/>
    <n v="10.3"/>
    <n v="5"/>
    <b v="1"/>
    <s v="D30"/>
    <n v="30"/>
    <b v="1"/>
    <x v="0"/>
    <n v="3"/>
    <n v="1"/>
    <n v="1"/>
    <n v="311"/>
  </r>
  <r>
    <s v="CO"/>
    <s v="US"/>
    <n v="2600"/>
    <n v="13"/>
    <d v="2022-10-31T17:35:31"/>
    <d v="2023-10-31T17:35:07"/>
    <n v="200"/>
    <n v="200"/>
    <n v="200"/>
    <n v="200"/>
    <n v="771"/>
    <b v="1"/>
    <s v="D31"/>
    <n v="30"/>
    <b v="1"/>
    <x v="1"/>
    <n v="1"/>
    <n v="1"/>
    <n v="3"/>
    <n v="113"/>
  </r>
  <r>
    <s v="TX"/>
    <s v="US"/>
    <n v="2884"/>
    <n v="14"/>
    <d v="2024-10-25T14:29:45"/>
    <d v="2025-11-25T19:13:14"/>
    <n v="206"/>
    <n v="206"/>
    <n v="206"/>
    <n v="206"/>
    <n v="15"/>
    <b v="1"/>
    <s v="D32"/>
    <n v="30"/>
    <b v="1"/>
    <x v="0"/>
    <n v="3"/>
    <n v="1"/>
    <n v="3"/>
    <n v="313"/>
  </r>
  <r>
    <s v="AZ"/>
    <s v="US"/>
    <n v="721"/>
    <n v="14"/>
    <d v="2024-07-10T14:25:25"/>
    <d v="2025-08-10T19:17:49"/>
    <n v="51.5"/>
    <n v="51.5"/>
    <n v="51.5"/>
    <n v="51.5"/>
    <n v="122"/>
    <b v="1"/>
    <s v="D33"/>
    <n v="31"/>
    <b v="1"/>
    <x v="1"/>
    <n v="1"/>
    <n v="1"/>
    <n v="1"/>
    <n v="111"/>
  </r>
  <r>
    <s v="UT"/>
    <s v="US"/>
    <n v="4500"/>
    <n v="33"/>
    <d v="2022-10-01T21:33:09"/>
    <d v="2025-06-01T14:20:55"/>
    <n v="136.363636363636"/>
    <n v="100"/>
    <n v="200"/>
    <n v="100"/>
    <n v="193"/>
    <b v="1"/>
    <s v="D34"/>
    <n v="31"/>
    <b v="1"/>
    <x v="1"/>
    <n v="1"/>
    <n v="3"/>
    <n v="4"/>
    <n v="134"/>
  </r>
  <r>
    <s v="AZ"/>
    <s v="US"/>
    <n v="500"/>
    <n v="1"/>
    <d v="2022-10-21T23:14:20"/>
    <d v="2022-10-21T23:14:20"/>
    <n v="500"/>
    <n v="500"/>
    <n v="500"/>
    <n v="500"/>
    <n v="1146"/>
    <b v="0"/>
    <s v="D35"/>
    <m/>
    <b v="0"/>
    <x v="4"/>
    <m/>
    <m/>
    <m/>
    <m/>
  </r>
  <r>
    <s v="NC"/>
    <s v="US"/>
    <n v="1650"/>
    <n v="33"/>
    <d v="2022-09-15T19:52:07"/>
    <d v="2023-12-07T17:53:05"/>
    <n v="50"/>
    <n v="50"/>
    <n v="50"/>
    <n v="50"/>
    <n v="734"/>
    <b v="1"/>
    <s v="D36"/>
    <n v="14"/>
    <b v="1"/>
    <x v="1"/>
    <n v="1"/>
    <n v="3"/>
    <n v="2"/>
    <n v="132"/>
  </r>
  <r>
    <s v="TX"/>
    <s v="US"/>
    <n v="185.4"/>
    <n v="3"/>
    <d v="2024-11-01T15:29:19"/>
    <d v="2025-01-01T13:22:39"/>
    <n v="61.799999999999898"/>
    <n v="61.8"/>
    <n v="61.8"/>
    <n v="61.8"/>
    <n v="344"/>
    <b v="1"/>
    <s v="D37"/>
    <n v="29.5"/>
    <b v="1"/>
    <x v="1"/>
    <n v="1"/>
    <n v="1"/>
    <n v="1"/>
    <n v="111"/>
  </r>
  <r>
    <s v="AZ"/>
    <s v="US"/>
    <n v="2700"/>
    <n v="27"/>
    <d v="2022-10-10T18:10:53"/>
    <d v="2024-11-10T13:15:04"/>
    <n v="100"/>
    <n v="100"/>
    <n v="100"/>
    <n v="100"/>
    <n v="396"/>
    <b v="1"/>
    <s v="D38"/>
    <n v="30"/>
    <b v="1"/>
    <x v="1"/>
    <n v="1"/>
    <n v="3"/>
    <n v="3"/>
    <n v="133"/>
  </r>
  <r>
    <s v="AZ"/>
    <s v="US"/>
    <n v="2500"/>
    <n v="24"/>
    <d v="2022-05-13T05:37:00"/>
    <d v="2024-07-30T14:22:24"/>
    <n v="104.166666666666"/>
    <n v="100"/>
    <n v="200"/>
    <n v="100"/>
    <n v="499"/>
    <b v="1"/>
    <s v="D39"/>
    <n v="29"/>
    <b v="1"/>
    <x v="1"/>
    <n v="1"/>
    <n v="3"/>
    <n v="3"/>
    <n v="133"/>
  </r>
  <r>
    <s v="AZ"/>
    <s v="US"/>
    <n v="9421.5"/>
    <n v="46"/>
    <d v="2022-03-16T21:34:00"/>
    <d v="2025-06-07T19:21:46"/>
    <n v="204.815217391304"/>
    <n v="257.5"/>
    <n v="257.5"/>
    <n v="51.5"/>
    <n v="186"/>
    <b v="1"/>
    <s v="D40"/>
    <n v="31"/>
    <b v="1"/>
    <x v="1"/>
    <n v="1"/>
    <n v="4"/>
    <n v="4"/>
    <n v="144"/>
  </r>
  <r>
    <s v="AZ"/>
    <s v="US"/>
    <n v="2100"/>
    <n v="21"/>
    <d v="2024-03-13T17:41:50"/>
    <d v="2025-11-13T19:12:21"/>
    <n v="100"/>
    <n v="100"/>
    <n v="100"/>
    <n v="100"/>
    <n v="27"/>
    <b v="1"/>
    <s v="D41"/>
    <n v="30"/>
    <b v="1"/>
    <x v="3"/>
    <n v="3"/>
    <n v="3"/>
    <n v="3"/>
    <n v="333"/>
  </r>
  <r>
    <s v="UT"/>
    <s v="US"/>
    <n v="4700"/>
    <n v="39"/>
    <d v="2022-05-01T21:25:41"/>
    <d v="2025-12-01T19:25:00"/>
    <n v="120.51282051282"/>
    <n v="100"/>
    <n v="300"/>
    <n v="100"/>
    <n v="9"/>
    <b v="1"/>
    <s v="D42"/>
    <n v="29"/>
    <b v="1"/>
    <x v="2"/>
    <n v="3"/>
    <n v="4"/>
    <n v="4"/>
    <n v="344"/>
  </r>
  <r>
    <s v="TX"/>
    <s v="US"/>
    <n v="700"/>
    <n v="14"/>
    <d v="2024-10-29T14:20:52"/>
    <d v="2025-11-29T19:12:30"/>
    <n v="50"/>
    <n v="50"/>
    <n v="50"/>
    <n v="50"/>
    <n v="11"/>
    <b v="1"/>
    <s v="D43"/>
    <n v="30"/>
    <b v="1"/>
    <x v="0"/>
    <n v="3"/>
    <n v="1"/>
    <n v="1"/>
    <n v="311"/>
  </r>
  <r>
    <s v="AZ"/>
    <s v="US"/>
    <n v="2727"/>
    <n v="27"/>
    <d v="2022-10-15T20:18:07"/>
    <d v="2025-11-28T19:15:11"/>
    <n v="101"/>
    <n v="100"/>
    <n v="103"/>
    <n v="100"/>
    <n v="12"/>
    <b v="1"/>
    <s v="D44"/>
    <n v="31"/>
    <b v="1"/>
    <x v="3"/>
    <n v="3"/>
    <n v="3"/>
    <n v="3"/>
    <n v="333"/>
  </r>
  <r>
    <s v="AZ"/>
    <s v="US"/>
    <n v="14234.25"/>
    <n v="48"/>
    <d v="2022-08-17T20:42:38"/>
    <d v="2025-11-28T19:14:40"/>
    <n v="296.546875"/>
    <n v="214.97"/>
    <n v="4000"/>
    <n v="74"/>
    <n v="12"/>
    <b v="1"/>
    <s v="D45"/>
    <n v="31"/>
    <b v="1"/>
    <x v="2"/>
    <n v="3"/>
    <n v="4"/>
    <n v="4"/>
    <n v="344"/>
  </r>
  <r>
    <s v="AZ"/>
    <s v="US"/>
    <n v="10000"/>
    <n v="1"/>
    <d v="2024-10-07T14:47:16"/>
    <d v="2024-10-07T14:47:16"/>
    <n v="10000"/>
    <n v="10000"/>
    <n v="10000"/>
    <n v="10000"/>
    <n v="429"/>
    <b v="0"/>
    <s v="D46"/>
    <m/>
    <b v="0"/>
    <x v="4"/>
    <m/>
    <m/>
    <m/>
    <m/>
  </r>
  <r>
    <s v="GA"/>
    <s v="US"/>
    <n v="231"/>
    <n v="3"/>
    <d v="2024-01-11T17:37:14"/>
    <d v="2024-04-02T04:12:15"/>
    <n v="77"/>
    <n v="51.5"/>
    <n v="154.5"/>
    <n v="25"/>
    <n v="618"/>
    <b v="1"/>
    <s v="D47"/>
    <n v="40.5"/>
    <b v="0"/>
    <x v="5"/>
    <m/>
    <m/>
    <m/>
    <m/>
  </r>
  <r>
    <s v="AZ"/>
    <s v="US"/>
    <n v="1200"/>
    <n v="1"/>
    <d v="2022-09-20T01:02:27"/>
    <d v="2022-09-20T01:02:27"/>
    <n v="1200"/>
    <n v="1200"/>
    <n v="1200"/>
    <n v="1200"/>
    <n v="1178"/>
    <b v="0"/>
    <s v="D48"/>
    <m/>
    <b v="0"/>
    <x v="4"/>
    <m/>
    <m/>
    <m/>
    <m/>
  </r>
  <r>
    <s v="AZ"/>
    <s v="US"/>
    <n v="515"/>
    <n v="1"/>
    <d v="2022-09-13T06:18:55"/>
    <d v="2022-09-13T06:18:55"/>
    <n v="515"/>
    <n v="515"/>
    <n v="515"/>
    <n v="515"/>
    <n v="1185"/>
    <b v="0"/>
    <s v="D49"/>
    <m/>
    <b v="0"/>
    <x v="4"/>
    <m/>
    <m/>
    <m/>
    <m/>
  </r>
  <r>
    <s v="AZ"/>
    <s v="US"/>
    <n v="1003"/>
    <n v="19"/>
    <d v="2022-04-19T23:27:00"/>
    <d v="2025-11-20T19:13:36"/>
    <n v="52.789473684210499"/>
    <n v="50"/>
    <n v="103"/>
    <n v="50"/>
    <n v="20"/>
    <b v="1"/>
    <s v="D50"/>
    <n v="30"/>
    <b v="1"/>
    <x v="3"/>
    <n v="3"/>
    <n v="3"/>
    <n v="2"/>
    <n v="332"/>
  </r>
  <r>
    <s v="AZ"/>
    <s v="US"/>
    <n v="25.75"/>
    <n v="1"/>
    <d v="2022-10-12T06:04:39"/>
    <d v="2022-10-12T06:04:39"/>
    <n v="25.75"/>
    <n v="25.75"/>
    <n v="25.75"/>
    <n v="25.75"/>
    <n v="1156"/>
    <b v="0"/>
    <s v="D51"/>
    <m/>
    <b v="0"/>
    <x v="4"/>
    <m/>
    <m/>
    <m/>
    <m/>
  </r>
  <r>
    <s v="AZ"/>
    <s v="US"/>
    <n v="9167"/>
    <n v="40"/>
    <d v="2022-09-03T17:56:54"/>
    <d v="2025-12-01T19:25:32"/>
    <n v="229.17500000000001"/>
    <n v="103"/>
    <n v="5150"/>
    <n v="103"/>
    <n v="9"/>
    <b v="1"/>
    <s v="D52"/>
    <n v="29"/>
    <b v="1"/>
    <x v="2"/>
    <n v="3"/>
    <n v="4"/>
    <n v="4"/>
    <n v="344"/>
  </r>
  <r>
    <s v="OK"/>
    <s v="US"/>
    <n v="144.19999999999999"/>
    <n v="14"/>
    <d v="2024-11-05T13:12:46"/>
    <d v="2025-12-05T19:14:55"/>
    <n v="10.3"/>
    <n v="10.3"/>
    <n v="10.3"/>
    <n v="10.3"/>
    <n v="5"/>
    <b v="1"/>
    <s v="D53"/>
    <n v="30"/>
    <b v="1"/>
    <x v="0"/>
    <n v="3"/>
    <n v="1"/>
    <n v="1"/>
    <n v="311"/>
  </r>
  <r>
    <s v="AZ"/>
    <s v="US"/>
    <n v="862"/>
    <n v="34"/>
    <d v="2022-09-12T17:43:41"/>
    <d v="2025-11-20T19:13:30"/>
    <n v="25.352941176470502"/>
    <n v="25"/>
    <n v="25.75"/>
    <n v="25"/>
    <n v="20"/>
    <b v="1"/>
    <s v="D54"/>
    <n v="30"/>
    <b v="1"/>
    <x v="3"/>
    <n v="3"/>
    <n v="3"/>
    <n v="1"/>
    <n v="331"/>
  </r>
  <r>
    <s v="AZ"/>
    <s v="US"/>
    <n v="150"/>
    <n v="3"/>
    <d v="2025-09-21T19:26:04"/>
    <d v="2025-11-21T19:19:52"/>
    <n v="50"/>
    <n v="50"/>
    <n v="50"/>
    <n v="50"/>
    <n v="19"/>
    <b v="1"/>
    <s v="D55"/>
    <n v="30"/>
    <b v="1"/>
    <x v="0"/>
    <n v="3"/>
    <n v="1"/>
    <n v="1"/>
    <n v="311"/>
  </r>
  <r>
    <s v="WY"/>
    <s v="US"/>
    <n v="3672"/>
    <n v="42"/>
    <d v="2022-08-08T17:45:46"/>
    <d v="2025-12-08T19:14:26"/>
    <n v="87.428571428571402"/>
    <n v="77.25"/>
    <n v="300"/>
    <n v="77.25"/>
    <n v="2"/>
    <b v="1"/>
    <s v="D56"/>
    <n v="30"/>
    <b v="1"/>
    <x v="2"/>
    <n v="3"/>
    <n v="4"/>
    <n v="4"/>
    <n v="344"/>
  </r>
  <r>
    <s v="TX"/>
    <s v="US"/>
    <n v="1100"/>
    <n v="11"/>
    <d v="2024-11-01T15:29:07"/>
    <d v="2025-09-01T19:29:35"/>
    <n v="100"/>
    <n v="100"/>
    <n v="100"/>
    <n v="100"/>
    <n v="100"/>
    <b v="1"/>
    <s v="D57"/>
    <n v="30"/>
    <b v="1"/>
    <x v="6"/>
    <n v="2"/>
    <n v="1"/>
    <n v="2"/>
    <n v="212"/>
  </r>
  <r>
    <s v="CA"/>
    <s v="US"/>
    <n v="1500"/>
    <n v="30"/>
    <d v="2023-07-02T17:46:32"/>
    <d v="2025-12-02T19:14:14"/>
    <n v="50"/>
    <n v="50"/>
    <n v="50"/>
    <n v="50"/>
    <n v="8"/>
    <b v="1"/>
    <s v="D58"/>
    <n v="29"/>
    <b v="1"/>
    <x v="3"/>
    <n v="3"/>
    <n v="3"/>
    <n v="2"/>
    <n v="332"/>
  </r>
  <r>
    <s v="TX"/>
    <s v="US"/>
    <n v="4500"/>
    <n v="23"/>
    <d v="2022-12-26T17:37:59"/>
    <d v="2025-12-06T19:13:13"/>
    <n v="195.65217391304299"/>
    <n v="100"/>
    <n v="1000"/>
    <n v="100"/>
    <n v="4"/>
    <b v="1"/>
    <s v="D59"/>
    <n v="30"/>
    <b v="1"/>
    <x v="0"/>
    <n v="3"/>
    <n v="3"/>
    <n v="4"/>
    <n v="334"/>
  </r>
  <r>
    <s v="CO"/>
    <s v="US"/>
    <n v="900"/>
    <n v="12"/>
    <d v="2024-06-01T15:56:48"/>
    <d v="2025-05-01T14:20:15"/>
    <n v="75"/>
    <n v="75"/>
    <n v="75"/>
    <n v="75"/>
    <n v="224"/>
    <b v="1"/>
    <s v="D60"/>
    <n v="29"/>
    <b v="1"/>
    <x v="1"/>
    <n v="1"/>
    <n v="1"/>
    <n v="1"/>
    <n v="111"/>
  </r>
  <r>
    <s v="AZ"/>
    <s v="US"/>
    <n v="560"/>
    <n v="14"/>
    <d v="2022-10-01T21:33:08"/>
    <d v="2023-11-01T20:36:38"/>
    <n v="40"/>
    <n v="40"/>
    <n v="40"/>
    <n v="40"/>
    <n v="770"/>
    <b v="1"/>
    <s v="D61"/>
    <n v="30"/>
    <b v="1"/>
    <x v="1"/>
    <n v="1"/>
    <n v="1"/>
    <n v="1"/>
    <n v="111"/>
  </r>
  <r>
    <s v="TX"/>
    <s v="US"/>
    <n v="8500"/>
    <n v="17"/>
    <d v="2024-08-12T09:00:00"/>
    <d v="2025-12-08T09:00:00"/>
    <n v="500"/>
    <n v="500"/>
    <n v="500"/>
    <n v="500"/>
    <n v="3"/>
    <b v="1"/>
    <s v="D62"/>
    <n v="29"/>
    <b v="1"/>
    <x v="7"/>
    <n v="3"/>
    <n v="2"/>
    <n v="4"/>
    <n v="324"/>
  </r>
  <r>
    <s v="AZ"/>
    <s v="US"/>
    <n v="103"/>
    <n v="1"/>
    <d v="2024-06-28T14:42:27"/>
    <d v="2024-06-28T14:42:27"/>
    <n v="103"/>
    <n v="103"/>
    <n v="103"/>
    <n v="103"/>
    <n v="530"/>
    <b v="0"/>
    <s v="D63"/>
    <m/>
    <b v="0"/>
    <x v="4"/>
    <m/>
    <m/>
    <m/>
    <m/>
  </r>
  <r>
    <s v="TX"/>
    <s v="US"/>
    <n v="7210"/>
    <n v="14"/>
    <d v="2024-10-25T14:28:51"/>
    <d v="2025-11-25T19:13:04"/>
    <n v="515"/>
    <n v="515"/>
    <n v="515"/>
    <n v="515"/>
    <n v="15"/>
    <b v="1"/>
    <s v="D64"/>
    <n v="30"/>
    <b v="1"/>
    <x v="7"/>
    <n v="3"/>
    <n v="1"/>
    <n v="4"/>
    <n v="314"/>
  </r>
  <r>
    <s v="TX"/>
    <s v="US"/>
    <n v="7725"/>
    <n v="15"/>
    <d v="2024-10-07T14:33:18"/>
    <d v="2025-12-07T19:16:54"/>
    <n v="515"/>
    <n v="515"/>
    <n v="515"/>
    <n v="515"/>
    <n v="3"/>
    <b v="1"/>
    <s v="D65"/>
    <n v="30"/>
    <b v="1"/>
    <x v="7"/>
    <n v="3"/>
    <n v="2"/>
    <n v="4"/>
    <n v="324"/>
  </r>
  <r>
    <s v="TX"/>
    <s v="US"/>
    <n v="721"/>
    <n v="14"/>
    <d v="2024-10-15T14:52:11"/>
    <d v="2025-11-15T19:20:29"/>
    <n v="51.5"/>
    <n v="51.5"/>
    <n v="51.5"/>
    <n v="51.5"/>
    <n v="25"/>
    <b v="1"/>
    <s v="D66"/>
    <n v="30"/>
    <b v="1"/>
    <x v="0"/>
    <n v="3"/>
    <n v="1"/>
    <n v="1"/>
    <n v="311"/>
  </r>
  <r>
    <s v="TX"/>
    <s v="US"/>
    <n v="1424"/>
    <n v="14"/>
    <d v="2024-10-26T14:21:21"/>
    <d v="2025-11-27T19:14:12"/>
    <n v="101.714285714285"/>
    <n v="103"/>
    <n v="103"/>
    <n v="100"/>
    <n v="13"/>
    <b v="1"/>
    <s v="D67"/>
    <n v="30"/>
    <b v="1"/>
    <x v="0"/>
    <n v="3"/>
    <n v="1"/>
    <n v="2"/>
    <n v="312"/>
  </r>
  <r>
    <s v="WA"/>
    <s v="US"/>
    <n v="1500"/>
    <n v="15"/>
    <d v="2024-10-10T14:21:52"/>
    <d v="2025-12-10T19:13:19"/>
    <n v="100"/>
    <n v="100"/>
    <n v="100"/>
    <n v="100"/>
    <n v="0"/>
    <b v="1"/>
    <s v="D68"/>
    <n v="30"/>
    <b v="1"/>
    <x v="0"/>
    <n v="3"/>
    <n v="2"/>
    <n v="2"/>
    <n v="322"/>
  </r>
  <r>
    <s v="OH"/>
    <s v="US"/>
    <n v="51.5"/>
    <n v="1"/>
    <d v="2022-04-04T01:33:00"/>
    <d v="2022-04-04T01:33:00"/>
    <n v="51.5"/>
    <n v="51.5"/>
    <n v="51.5"/>
    <n v="51.5"/>
    <n v="1347"/>
    <b v="0"/>
    <s v="D69"/>
    <m/>
    <b v="0"/>
    <x v="4"/>
    <m/>
    <m/>
    <m/>
    <m/>
  </r>
  <r>
    <s v="CO"/>
    <s v="US"/>
    <n v="3120"/>
    <n v="39"/>
    <d v="2022-10-01T21:33:12"/>
    <d v="2025-12-01T19:25:24"/>
    <n v="80"/>
    <n v="80"/>
    <n v="80"/>
    <n v="80"/>
    <n v="9"/>
    <b v="1"/>
    <s v="D70"/>
    <n v="29"/>
    <b v="1"/>
    <x v="2"/>
    <n v="3"/>
    <n v="4"/>
    <n v="4"/>
    <n v="344"/>
  </r>
  <r>
    <s v="WI"/>
    <s v="US"/>
    <n v="3900"/>
    <n v="39"/>
    <d v="2022-10-01T21:32:34"/>
    <d v="2025-12-01T19:24:48"/>
    <n v="100"/>
    <n v="100"/>
    <n v="100"/>
    <n v="100"/>
    <n v="9"/>
    <b v="1"/>
    <s v="D71"/>
    <n v="29"/>
    <b v="1"/>
    <x v="2"/>
    <n v="3"/>
    <n v="4"/>
    <n v="4"/>
    <n v="344"/>
  </r>
  <r>
    <s v="AZ"/>
    <s v="US"/>
    <n v="3860"/>
    <n v="38"/>
    <d v="2022-10-07T18:02:20"/>
    <d v="2025-11-19T19:12:38"/>
    <n v="101.578947368421"/>
    <n v="103"/>
    <n v="103"/>
    <n v="100"/>
    <n v="21"/>
    <b v="1"/>
    <s v="D72"/>
    <n v="30"/>
    <b v="1"/>
    <x v="2"/>
    <n v="3"/>
    <n v="4"/>
    <n v="4"/>
    <n v="344"/>
  </r>
  <r>
    <s v="CA"/>
    <s v="US"/>
    <n v="2942"/>
    <n v="22"/>
    <d v="2022-09-01T21:30:24"/>
    <d v="2024-06-01T15:40:27"/>
    <n v="133.72727272727201"/>
    <n v="100"/>
    <n v="206"/>
    <n v="100"/>
    <n v="557"/>
    <b v="1"/>
    <s v="D73"/>
    <n v="29"/>
    <b v="1"/>
    <x v="1"/>
    <n v="1"/>
    <n v="3"/>
    <n v="3"/>
    <n v="133"/>
  </r>
  <r>
    <s v="MD"/>
    <s v="US"/>
    <n v="2300"/>
    <n v="23"/>
    <d v="2024-01-17T17:45:39"/>
    <d v="2025-11-17T19:14:53"/>
    <n v="100"/>
    <n v="100"/>
    <n v="100"/>
    <n v="100"/>
    <n v="23"/>
    <b v="1"/>
    <s v="D74"/>
    <n v="30"/>
    <b v="1"/>
    <x v="3"/>
    <n v="3"/>
    <n v="3"/>
    <n v="3"/>
    <n v="333"/>
  </r>
  <r>
    <s v="AZ"/>
    <s v="US"/>
    <n v="2925"/>
    <n v="39"/>
    <d v="2022-10-04T05:01:59"/>
    <d v="2025-12-12T09:00:00"/>
    <n v="75"/>
    <n v="75"/>
    <n v="75"/>
    <n v="75"/>
    <n v="-1"/>
    <b v="1"/>
    <s v="D75"/>
    <n v="27"/>
    <b v="1"/>
    <x v="3"/>
    <n v="3"/>
    <n v="4"/>
    <n v="3"/>
    <n v="343"/>
  </r>
  <r>
    <s v="LA"/>
    <s v="US"/>
    <n v="600"/>
    <n v="6"/>
    <d v="2022-10-01T21:33:04"/>
    <d v="2023-03-01T20:48:15"/>
    <n v="100"/>
    <n v="100"/>
    <n v="100"/>
    <n v="100"/>
    <n v="1015"/>
    <b v="1"/>
    <s v="D76"/>
    <n v="30"/>
    <b v="1"/>
    <x v="1"/>
    <n v="1"/>
    <n v="1"/>
    <n v="1"/>
    <n v="111"/>
  </r>
  <r>
    <s v="AZ"/>
    <s v="US"/>
    <n v="206"/>
    <n v="1"/>
    <d v="2024-04-18T09:31:06"/>
    <d v="2024-04-18T09:31:06"/>
    <n v="206"/>
    <n v="206"/>
    <n v="206"/>
    <n v="206"/>
    <n v="602"/>
    <b v="0"/>
    <s v="D77"/>
    <m/>
    <b v="0"/>
    <x v="4"/>
    <m/>
    <m/>
    <m/>
    <m/>
  </r>
  <r>
    <s v="AZ"/>
    <s v="US"/>
    <n v="25"/>
    <n v="1"/>
    <d v="2023-12-26T04:18:37"/>
    <d v="2023-12-26T04:18:37"/>
    <n v="25"/>
    <n v="25"/>
    <n v="25"/>
    <n v="25"/>
    <n v="716"/>
    <b v="0"/>
    <s v="D78"/>
    <m/>
    <b v="0"/>
    <x v="4"/>
    <m/>
    <m/>
    <m/>
    <m/>
  </r>
  <r>
    <s v="TX"/>
    <s v="US"/>
    <n v="952.75"/>
    <n v="37"/>
    <d v="2022-08-07T17:46:17"/>
    <d v="2025-12-07T19:17:06"/>
    <n v="25.75"/>
    <n v="25.75"/>
    <n v="25.75"/>
    <n v="25.75"/>
    <n v="3"/>
    <b v="1"/>
    <s v="D79"/>
    <n v="30"/>
    <b v="1"/>
    <x v="3"/>
    <n v="3"/>
    <n v="3"/>
    <n v="1"/>
    <n v="331"/>
  </r>
  <r>
    <s v="AZ"/>
    <s v="US"/>
    <n v="2060"/>
    <n v="40"/>
    <d v="2022-09-01T21:30:06"/>
    <d v="2025-12-01T19:25:29"/>
    <n v="51.5"/>
    <n v="51.5"/>
    <n v="51.5"/>
    <n v="51.5"/>
    <n v="9"/>
    <b v="1"/>
    <s v="D80"/>
    <n v="29"/>
    <b v="1"/>
    <x v="3"/>
    <n v="3"/>
    <n v="4"/>
    <n v="3"/>
    <n v="343"/>
  </r>
  <r>
    <s v="TX"/>
    <s v="US"/>
    <n v="1600"/>
    <n v="16"/>
    <d v="2024-09-05T14:31:33"/>
    <d v="2025-12-05T19:16:28"/>
    <n v="100"/>
    <n v="100"/>
    <n v="100"/>
    <n v="100"/>
    <n v="5"/>
    <b v="1"/>
    <s v="D81"/>
    <n v="30"/>
    <b v="1"/>
    <x v="0"/>
    <n v="3"/>
    <n v="2"/>
    <n v="2"/>
    <n v="322"/>
  </r>
  <r>
    <s v="AZ"/>
    <s v="US"/>
    <n v="7555.18"/>
    <n v="38"/>
    <d v="2022-03-01T01:00:00"/>
    <d v="2025-09-17T19:13:17"/>
    <n v="198.82052631578901"/>
    <n v="100"/>
    <n v="2455.1799999999998"/>
    <n v="100"/>
    <n v="84"/>
    <b v="1"/>
    <s v="D82"/>
    <n v="30"/>
    <b v="1"/>
    <x v="6"/>
    <n v="2"/>
    <n v="4"/>
    <n v="4"/>
    <n v="244"/>
  </r>
  <r>
    <s v="CO"/>
    <s v="US"/>
    <n v="412"/>
    <n v="4"/>
    <d v="2022-08-25T18:00:37"/>
    <d v="2022-12-25T17:48:33"/>
    <n v="103"/>
    <n v="103"/>
    <n v="103"/>
    <n v="103"/>
    <n v="1081"/>
    <b v="1"/>
    <s v="D83"/>
    <n v="31"/>
    <b v="1"/>
    <x v="1"/>
    <n v="1"/>
    <n v="1"/>
    <n v="1"/>
    <n v="111"/>
  </r>
  <r>
    <s v="TX"/>
    <s v="US"/>
    <n v="2050"/>
    <n v="41"/>
    <d v="2022-08-06T17:46:40"/>
    <d v="2025-12-06T19:13:07"/>
    <n v="50"/>
    <n v="50"/>
    <n v="50"/>
    <n v="50"/>
    <n v="4"/>
    <b v="1"/>
    <s v="D84"/>
    <n v="30"/>
    <b v="1"/>
    <x v="3"/>
    <n v="3"/>
    <n v="4"/>
    <n v="3"/>
    <n v="343"/>
  </r>
  <r>
    <s v="AZ"/>
    <s v="US"/>
    <n v="1100"/>
    <n v="1"/>
    <d v="2024-04-06T00:46:22"/>
    <d v="2024-04-06T00:46:22"/>
    <n v="1100"/>
    <n v="1100"/>
    <n v="1100"/>
    <n v="1100"/>
    <n v="614"/>
    <b v="0"/>
    <s v="D85"/>
    <m/>
    <b v="0"/>
    <x v="4"/>
    <m/>
    <m/>
    <m/>
    <m/>
  </r>
  <r>
    <s v="AZ"/>
    <s v="US"/>
    <n v="51.5"/>
    <n v="1"/>
    <d v="2025-04-23T14:12:30"/>
    <d v="2025-04-23T14:12:30"/>
    <n v="51.5"/>
    <n v="51.5"/>
    <n v="51.5"/>
    <n v="51.5"/>
    <n v="232"/>
    <b v="0"/>
    <s v="D86"/>
    <m/>
    <b v="0"/>
    <x v="4"/>
    <m/>
    <m/>
    <m/>
    <m/>
  </r>
  <r>
    <s v="AZ"/>
    <s v="US"/>
    <n v="850"/>
    <n v="17"/>
    <d v="2022-10-01T21:33:01"/>
    <d v="2024-02-01T20:43:03"/>
    <n v="50"/>
    <n v="50"/>
    <n v="50"/>
    <n v="50"/>
    <n v="678"/>
    <b v="1"/>
    <s v="D87"/>
    <n v="30"/>
    <b v="1"/>
    <x v="1"/>
    <n v="1"/>
    <n v="2"/>
    <n v="1"/>
    <n v="121"/>
  </r>
  <r>
    <s v="AZ"/>
    <s v="US"/>
    <n v="51.5"/>
    <n v="1"/>
    <d v="2022-09-01T21:30:21"/>
    <d v="2022-09-01T21:30:21"/>
    <n v="51.5"/>
    <n v="51.5"/>
    <n v="51.5"/>
    <n v="51.5"/>
    <n v="1196"/>
    <b v="0"/>
    <s v="D88"/>
    <m/>
    <b v="0"/>
    <x v="4"/>
    <m/>
    <m/>
    <m/>
    <m/>
  </r>
  <r>
    <s v="CO"/>
    <s v="US"/>
    <n v="1030"/>
    <n v="20"/>
    <d v="2022-08-12T17:54:08"/>
    <d v="2024-04-01T20:58:25"/>
    <n v="51.5"/>
    <n v="51.5"/>
    <n v="51.5"/>
    <n v="51.5"/>
    <n v="618"/>
    <b v="1"/>
    <s v="D89"/>
    <n v="30"/>
    <b v="1"/>
    <x v="1"/>
    <n v="1"/>
    <n v="3"/>
    <n v="2"/>
    <n v="132"/>
  </r>
  <r>
    <s v="CO"/>
    <s v="US"/>
    <n v="2500"/>
    <n v="25"/>
    <d v="2022-08-10T18:07:53"/>
    <d v="2024-08-10T14:25:57"/>
    <n v="100"/>
    <n v="100"/>
    <n v="100"/>
    <n v="100"/>
    <n v="488"/>
    <b v="1"/>
    <s v="D90"/>
    <n v="30"/>
    <b v="1"/>
    <x v="1"/>
    <n v="1"/>
    <n v="3"/>
    <n v="3"/>
    <n v="133"/>
  </r>
  <r>
    <s v="AZ"/>
    <s v="US"/>
    <n v="1339"/>
    <n v="13"/>
    <d v="2022-10-01T21:33:14"/>
    <d v="2023-10-01T20:40:16"/>
    <n v="103"/>
    <n v="103"/>
    <n v="103"/>
    <n v="103"/>
    <n v="801"/>
    <b v="1"/>
    <s v="D91"/>
    <n v="30"/>
    <b v="1"/>
    <x v="1"/>
    <n v="1"/>
    <n v="1"/>
    <n v="2"/>
    <n v="112"/>
  </r>
  <r>
    <s v="AZ"/>
    <s v="US"/>
    <n v="5275"/>
    <n v="40"/>
    <d v="2022-09-12T17:43:47"/>
    <d v="2025-11-15T19:23:24"/>
    <n v="131.875"/>
    <n v="125"/>
    <n v="400"/>
    <n v="125"/>
    <n v="25"/>
    <b v="1"/>
    <s v="D92"/>
    <n v="30"/>
    <b v="1"/>
    <x v="2"/>
    <n v="3"/>
    <n v="4"/>
    <n v="4"/>
    <n v="344"/>
  </r>
  <r>
    <s v="TX"/>
    <s v="US"/>
    <n v="700"/>
    <n v="14"/>
    <d v="2024-10-16T14:31:00"/>
    <d v="2025-11-16T19:19:31"/>
    <n v="50"/>
    <n v="50"/>
    <n v="50"/>
    <n v="50"/>
    <n v="24"/>
    <b v="1"/>
    <s v="D93"/>
    <n v="31"/>
    <b v="1"/>
    <x v="0"/>
    <n v="3"/>
    <n v="1"/>
    <n v="1"/>
    <n v="311"/>
  </r>
  <r>
    <s v="MN"/>
    <s v="US"/>
    <n v="250"/>
    <n v="1"/>
    <d v="2022-05-24T09:00:00"/>
    <d v="2022-05-24T09:00:00"/>
    <n v="250"/>
    <n v="250"/>
    <n v="250"/>
    <n v="250"/>
    <n v="1297"/>
    <b v="0"/>
    <s v="D94"/>
    <m/>
    <b v="0"/>
    <x v="4"/>
    <m/>
    <m/>
    <m/>
    <m/>
  </r>
  <r>
    <s v="AZ"/>
    <s v="US"/>
    <n v="4600"/>
    <n v="42"/>
    <d v="2022-08-01T21:50:12"/>
    <d v="2025-12-01T19:23:46"/>
    <n v="109.52380952380901"/>
    <n v="100"/>
    <n v="500"/>
    <n v="100"/>
    <n v="9"/>
    <b v="1"/>
    <s v="D95"/>
    <n v="30"/>
    <b v="1"/>
    <x v="2"/>
    <n v="3"/>
    <n v="4"/>
    <n v="4"/>
    <n v="344"/>
  </r>
  <r>
    <s v="TX"/>
    <s v="US"/>
    <n v="350"/>
    <n v="14"/>
    <d v="2024-11-05T13:13:31"/>
    <d v="2025-12-05T19:16:04"/>
    <n v="25"/>
    <n v="25"/>
    <n v="25"/>
    <n v="25"/>
    <n v="5"/>
    <b v="1"/>
    <s v="D96"/>
    <n v="30"/>
    <b v="1"/>
    <x v="0"/>
    <n v="3"/>
    <n v="1"/>
    <n v="1"/>
    <n v="311"/>
  </r>
  <r>
    <s v="TX"/>
    <s v="US"/>
    <n v="1400"/>
    <n v="14"/>
    <d v="2024-11-01T15:18:07"/>
    <d v="2025-12-01T19:23:15"/>
    <n v="100"/>
    <n v="100"/>
    <n v="100"/>
    <n v="100"/>
    <n v="9"/>
    <b v="1"/>
    <s v="D97"/>
    <n v="30"/>
    <b v="1"/>
    <x v="0"/>
    <n v="3"/>
    <n v="1"/>
    <n v="2"/>
    <n v="312"/>
  </r>
  <r>
    <s v="OK"/>
    <s v="US"/>
    <n v="1100"/>
    <n v="2"/>
    <d v="2022-03-07T18:09:00"/>
    <d v="2022-09-21T17:03:39"/>
    <n v="550"/>
    <n v="550"/>
    <n v="600"/>
    <n v="500"/>
    <n v="1176"/>
    <b v="1"/>
    <s v="D98"/>
    <n v="197"/>
    <b v="0"/>
    <x v="5"/>
    <m/>
    <m/>
    <m/>
    <m/>
  </r>
  <r>
    <s v="TX"/>
    <s v="US"/>
    <n v="927"/>
    <n v="15"/>
    <d v="2024-10-07T14:34:22"/>
    <d v="2025-12-07T19:17:14"/>
    <n v="61.8"/>
    <n v="61.8"/>
    <n v="61.8"/>
    <n v="61.8"/>
    <n v="3"/>
    <b v="1"/>
    <s v="D99"/>
    <n v="30"/>
    <b v="1"/>
    <x v="0"/>
    <n v="3"/>
    <n v="2"/>
    <n v="1"/>
    <n v="321"/>
  </r>
  <r>
    <s v="TX"/>
    <s v="US"/>
    <n v="1400"/>
    <n v="14"/>
    <d v="2024-10-13T14:38:06"/>
    <d v="2025-11-13T19:12:24"/>
    <n v="100"/>
    <n v="100"/>
    <n v="100"/>
    <n v="100"/>
    <n v="27"/>
    <b v="1"/>
    <s v="D100"/>
    <n v="30"/>
    <b v="1"/>
    <x v="0"/>
    <n v="3"/>
    <n v="1"/>
    <n v="2"/>
    <n v="312"/>
  </r>
  <r>
    <s v="AZ"/>
    <s v="US"/>
    <n v="609"/>
    <n v="2"/>
    <d v="2022-02-25T06:56:00"/>
    <d v="2022-10-15T08:35:09"/>
    <n v="304.5"/>
    <n v="304.5"/>
    <n v="309"/>
    <n v="300"/>
    <n v="1153"/>
    <b v="1"/>
    <s v="D101"/>
    <n v="232"/>
    <b v="0"/>
    <x v="5"/>
    <m/>
    <m/>
    <m/>
    <m/>
  </r>
  <r>
    <s v="CO"/>
    <s v="US"/>
    <n v="1318.4"/>
    <n v="41"/>
    <d v="2022-08-08T17:45:58"/>
    <d v="2025-12-01T19:22:27"/>
    <n v="32.156097560975603"/>
    <n v="15.45"/>
    <n v="51.5"/>
    <n v="15.45"/>
    <n v="9"/>
    <b v="1"/>
    <s v="D102"/>
    <n v="30"/>
    <b v="1"/>
    <x v="3"/>
    <n v="3"/>
    <n v="4"/>
    <n v="2"/>
    <n v="342"/>
  </r>
  <r>
    <s v="AZ"/>
    <s v="US"/>
    <n v="103"/>
    <n v="1"/>
    <d v="2022-10-20T02:45:35"/>
    <d v="2022-10-20T02:45:35"/>
    <n v="103"/>
    <n v="103"/>
    <n v="103"/>
    <n v="103"/>
    <n v="1148"/>
    <b v="0"/>
    <s v="D103"/>
    <m/>
    <b v="0"/>
    <x v="4"/>
    <m/>
    <m/>
    <m/>
    <m/>
  </r>
  <r>
    <s v="KS"/>
    <s v="US"/>
    <n v="1500"/>
    <n v="1"/>
    <d v="2024-05-03T15:56:49"/>
    <d v="2024-05-03T15:56:49"/>
    <n v="1500"/>
    <n v="1500"/>
    <n v="1500"/>
    <n v="1500"/>
    <n v="586"/>
    <b v="0"/>
    <s v="D104"/>
    <m/>
    <b v="0"/>
    <x v="4"/>
    <m/>
    <m/>
    <m/>
    <m/>
  </r>
  <r>
    <s v="TX"/>
    <s v="US"/>
    <n v="1400"/>
    <n v="14"/>
    <d v="2024-11-06T13:11:42"/>
    <d v="2025-12-06T19:13:09"/>
    <n v="100"/>
    <n v="100"/>
    <n v="100"/>
    <n v="100"/>
    <n v="4"/>
    <b v="1"/>
    <s v="D105"/>
    <n v="30"/>
    <b v="1"/>
    <x v="0"/>
    <n v="3"/>
    <n v="1"/>
    <n v="2"/>
    <n v="312"/>
  </r>
  <r>
    <s v="CO"/>
    <s v="US"/>
    <n v="750"/>
    <n v="1"/>
    <d v="2024-05-02T11:10:34"/>
    <d v="2024-05-02T11:10:34"/>
    <n v="750"/>
    <n v="750"/>
    <n v="750"/>
    <n v="750"/>
    <n v="588"/>
    <b v="0"/>
    <s v="D106"/>
    <m/>
    <b v="0"/>
    <x v="4"/>
    <m/>
    <m/>
    <m/>
    <m/>
  </r>
  <r>
    <s v="AZ"/>
    <s v="US"/>
    <n v="1205.0999999999999"/>
    <n v="39"/>
    <d v="2022-09-17T17:48:13"/>
    <d v="2025-11-17T19:14:34"/>
    <n v="30.9"/>
    <n v="30.9"/>
    <n v="30.9"/>
    <n v="30.9"/>
    <n v="23"/>
    <b v="1"/>
    <s v="D107"/>
    <n v="30"/>
    <b v="1"/>
    <x v="3"/>
    <n v="3"/>
    <n v="4"/>
    <n v="2"/>
    <n v="342"/>
  </r>
  <r>
    <s v="CO"/>
    <s v="US"/>
    <n v="3800"/>
    <n v="38"/>
    <d v="2022-10-15T20:18:24"/>
    <d v="2025-11-15T19:20:56"/>
    <n v="100"/>
    <n v="100"/>
    <n v="100"/>
    <n v="100"/>
    <n v="25"/>
    <b v="1"/>
    <s v="D108"/>
    <n v="30"/>
    <b v="1"/>
    <x v="2"/>
    <n v="3"/>
    <n v="4"/>
    <n v="4"/>
    <n v="344"/>
  </r>
  <r>
    <s v="DC"/>
    <s v="US"/>
    <n v="800"/>
    <n v="14"/>
    <d v="2024-11-01T15:32:11"/>
    <d v="2025-12-01T19:25:49"/>
    <n v="57.142857142857103"/>
    <n v="50"/>
    <n v="100"/>
    <n v="50"/>
    <n v="9"/>
    <b v="1"/>
    <s v="D109"/>
    <n v="29"/>
    <b v="1"/>
    <x v="0"/>
    <n v="3"/>
    <n v="1"/>
    <n v="1"/>
    <n v="311"/>
  </r>
  <r>
    <s v="TX"/>
    <s v="US"/>
    <n v="77.25"/>
    <n v="3"/>
    <d v="2024-10-07T14:34:42"/>
    <d v="2024-12-07T13:12:07"/>
    <n v="25.75"/>
    <n v="25.75"/>
    <n v="25.75"/>
    <n v="25.75"/>
    <n v="369"/>
    <b v="1"/>
    <s v="D110"/>
    <n v="30"/>
    <b v="1"/>
    <x v="1"/>
    <n v="1"/>
    <n v="1"/>
    <n v="1"/>
    <n v="111"/>
  </r>
  <r>
    <s v="CO"/>
    <s v="US"/>
    <n v="6000"/>
    <n v="4"/>
    <d v="2022-12-09T17:51:29"/>
    <d v="2025-07-27T19:24:37"/>
    <n v="1500"/>
    <n v="1500"/>
    <n v="2000"/>
    <n v="1000"/>
    <n v="136"/>
    <b v="1"/>
    <s v="D111"/>
    <n v="373"/>
    <b v="0"/>
    <x v="5"/>
    <m/>
    <m/>
    <m/>
    <m/>
  </r>
  <r>
    <s v="AR"/>
    <s v="US"/>
    <n v="1000"/>
    <n v="1"/>
    <d v="2025-07-14T19:21:06"/>
    <d v="2025-07-14T19:21:06"/>
    <n v="1000"/>
    <n v="1000"/>
    <n v="1000"/>
    <n v="1000"/>
    <n v="149"/>
    <b v="0"/>
    <s v="D112"/>
    <m/>
    <b v="0"/>
    <x v="4"/>
    <m/>
    <m/>
    <m/>
    <m/>
  </r>
  <r>
    <s v="TX"/>
    <s v="US"/>
    <n v="700"/>
    <n v="14"/>
    <d v="2024-11-01T15:19:08"/>
    <d v="2025-12-01T19:23:27"/>
    <n v="50"/>
    <n v="50"/>
    <n v="50"/>
    <n v="50"/>
    <n v="9"/>
    <b v="1"/>
    <s v="D113"/>
    <n v="29"/>
    <b v="1"/>
    <x v="0"/>
    <n v="3"/>
    <n v="1"/>
    <n v="1"/>
    <n v="311"/>
  </r>
  <r>
    <s v="AZ"/>
    <s v="US"/>
    <n v="7500"/>
    <n v="1"/>
    <d v="2022-09-10T00:36:24"/>
    <d v="2022-09-10T00:36:24"/>
    <n v="7500"/>
    <n v="7500"/>
    <n v="7500"/>
    <n v="7500"/>
    <n v="1188"/>
    <b v="0"/>
    <s v="D114"/>
    <m/>
    <b v="0"/>
    <x v="4"/>
    <m/>
    <m/>
    <m/>
    <m/>
  </r>
  <r>
    <s v="AZ"/>
    <s v="US"/>
    <n v="2360"/>
    <n v="20"/>
    <d v="2024-02-24T17:42:29"/>
    <d v="2025-09-24T19:12:49"/>
    <n v="118"/>
    <n v="128.75"/>
    <n v="128.75"/>
    <n v="75"/>
    <n v="77"/>
    <b v="1"/>
    <s v="D115"/>
    <n v="30"/>
    <b v="1"/>
    <x v="6"/>
    <n v="2"/>
    <n v="3"/>
    <n v="3"/>
    <n v="233"/>
  </r>
  <r>
    <s v="TX"/>
    <s v="US"/>
    <n v="2000"/>
    <n v="14"/>
    <d v="2024-10-18T14:30:04"/>
    <d v="2025-11-18T19:12:48"/>
    <n v="142.85714285714201"/>
    <n v="150"/>
    <n v="150"/>
    <n v="50"/>
    <n v="22"/>
    <b v="1"/>
    <s v="D116"/>
    <n v="30"/>
    <b v="1"/>
    <x v="0"/>
    <n v="3"/>
    <n v="1"/>
    <n v="3"/>
    <n v="313"/>
  </r>
  <r>
    <s v="TX"/>
    <s v="US"/>
    <n v="2884"/>
    <n v="14"/>
    <d v="2024-10-20T14:41:48"/>
    <d v="2025-11-20T19:13:09"/>
    <n v="206"/>
    <n v="206"/>
    <n v="206"/>
    <n v="206"/>
    <n v="20"/>
    <b v="1"/>
    <s v="D117"/>
    <n v="30"/>
    <b v="1"/>
    <x v="0"/>
    <n v="3"/>
    <n v="1"/>
    <n v="3"/>
    <n v="313"/>
  </r>
  <r>
    <s v="TX"/>
    <s v="US"/>
    <n v="1400"/>
    <n v="14"/>
    <d v="2024-11-01T15:29:09"/>
    <d v="2025-12-01T19:25:18"/>
    <n v="100"/>
    <n v="100"/>
    <n v="100"/>
    <n v="100"/>
    <n v="9"/>
    <b v="1"/>
    <s v="D118"/>
    <n v="29"/>
    <b v="1"/>
    <x v="0"/>
    <n v="3"/>
    <n v="1"/>
    <n v="2"/>
    <n v="312"/>
  </r>
  <r>
    <s v="AZ"/>
    <s v="US"/>
    <n v="2987"/>
    <n v="29"/>
    <d v="2022-09-16T18:10:38"/>
    <d v="2025-01-19T13:12:59"/>
    <n v="103"/>
    <n v="103"/>
    <n v="103"/>
    <n v="103"/>
    <n v="326"/>
    <b v="1"/>
    <s v="D119"/>
    <n v="30"/>
    <b v="1"/>
    <x v="1"/>
    <n v="1"/>
    <n v="3"/>
    <n v="3"/>
    <n v="133"/>
  </r>
  <r>
    <s v="AZ"/>
    <s v="US"/>
    <n v="500"/>
    <n v="1"/>
    <d v="2022-10-19T17:41:57"/>
    <d v="2022-10-19T17:41:57"/>
    <n v="500"/>
    <n v="500"/>
    <n v="500"/>
    <n v="500"/>
    <n v="1148"/>
    <b v="0"/>
    <s v="D120"/>
    <m/>
    <b v="0"/>
    <x v="4"/>
    <m/>
    <m/>
    <m/>
    <m/>
  </r>
  <r>
    <s v="AZ"/>
    <s v="US"/>
    <n v="9750"/>
    <n v="39"/>
    <d v="2022-09-15T20:03:44"/>
    <d v="2025-11-15T19:20:38"/>
    <n v="250"/>
    <n v="250"/>
    <n v="250"/>
    <n v="250"/>
    <n v="25"/>
    <b v="1"/>
    <s v="D121"/>
    <n v="30"/>
    <b v="1"/>
    <x v="2"/>
    <n v="3"/>
    <n v="4"/>
    <n v="4"/>
    <n v="344"/>
  </r>
  <r>
    <s v="AZ"/>
    <s v="US"/>
    <n v="1545"/>
    <n v="6"/>
    <d v="2025-07-10T19:19:09"/>
    <d v="2025-12-10T19:17:24"/>
    <n v="257.5"/>
    <n v="257.5"/>
    <n v="257.5"/>
    <n v="257.5"/>
    <n v="0"/>
    <b v="1"/>
    <s v="D122"/>
    <n v="30"/>
    <b v="1"/>
    <x v="0"/>
    <n v="3"/>
    <n v="1"/>
    <n v="2"/>
    <n v="312"/>
  </r>
  <r>
    <s v="Cebu"/>
    <s v="PHIL"/>
    <n v="250"/>
    <n v="1"/>
    <d v="2024-05-01T21:00:40"/>
    <d v="2024-05-01T21:00:40"/>
    <n v="250"/>
    <n v="250"/>
    <n v="250"/>
    <n v="250"/>
    <n v="588"/>
    <b v="0"/>
    <s v="D123"/>
    <m/>
    <b v="0"/>
    <x v="4"/>
    <m/>
    <m/>
    <m/>
    <m/>
  </r>
  <r>
    <s v="AZ"/>
    <s v="US"/>
    <n v="4120"/>
    <n v="40"/>
    <d v="2022-08-23T17:41:08"/>
    <d v="2025-12-09T19:12:47"/>
    <n v="103"/>
    <n v="103"/>
    <n v="103"/>
    <n v="103"/>
    <n v="1"/>
    <b v="1"/>
    <s v="D124"/>
    <n v="30"/>
    <b v="1"/>
    <x v="2"/>
    <n v="3"/>
    <n v="4"/>
    <n v="4"/>
    <n v="344"/>
  </r>
  <r>
    <s v="AZ"/>
    <s v="US"/>
    <n v="2409"/>
    <n v="22"/>
    <d v="2022-09-20T07:55:59"/>
    <d v="2025-11-17T19:14:43"/>
    <n v="109.5"/>
    <n v="100"/>
    <n v="309"/>
    <n v="100"/>
    <n v="23"/>
    <b v="1"/>
    <s v="D125"/>
    <n v="30"/>
    <b v="1"/>
    <x v="3"/>
    <n v="3"/>
    <n v="3"/>
    <n v="3"/>
    <n v="333"/>
  </r>
  <r>
    <s v="TX"/>
    <s v="US"/>
    <n v="7000"/>
    <n v="15"/>
    <d v="2024-10-15T14:49:52"/>
    <d v="2025-11-15T19:19:53"/>
    <n v="466.666666666666"/>
    <n v="250"/>
    <n v="3500"/>
    <n v="250"/>
    <n v="25"/>
    <b v="1"/>
    <s v="D126"/>
    <n v="30"/>
    <b v="1"/>
    <x v="7"/>
    <n v="3"/>
    <n v="2"/>
    <n v="4"/>
    <n v="324"/>
  </r>
  <r>
    <s v="AZ"/>
    <s v="US"/>
    <n v="103"/>
    <n v="1"/>
    <d v="2022-02-22T08:34:00"/>
    <d v="2022-02-22T08:34:00"/>
    <n v="103"/>
    <n v="103"/>
    <n v="103"/>
    <n v="103"/>
    <n v="1388"/>
    <b v="0"/>
    <s v="D127"/>
    <m/>
    <b v="0"/>
    <x v="4"/>
    <m/>
    <m/>
    <m/>
    <m/>
  </r>
  <r>
    <s v="AZ"/>
    <s v="US"/>
    <n v="1050"/>
    <n v="12"/>
    <d v="2022-07-02T17:52:00"/>
    <d v="2023-06-02T17:56:40"/>
    <n v="87.5"/>
    <n v="100"/>
    <n v="100"/>
    <n v="50"/>
    <n v="922"/>
    <b v="1"/>
    <s v="D128"/>
    <n v="30"/>
    <b v="1"/>
    <x v="1"/>
    <n v="1"/>
    <n v="1"/>
    <n v="2"/>
    <n v="112"/>
  </r>
  <r>
    <s v="AZ"/>
    <s v="US"/>
    <n v="40"/>
    <n v="1"/>
    <d v="2022-10-14T21:16:21"/>
    <d v="2022-10-14T21:16:21"/>
    <n v="40"/>
    <n v="40"/>
    <n v="40"/>
    <n v="40"/>
    <n v="1153"/>
    <b v="0"/>
    <s v="D129"/>
    <m/>
    <b v="0"/>
    <x v="4"/>
    <m/>
    <m/>
    <m/>
    <m/>
  </r>
  <r>
    <s v="AZ"/>
    <s v="US"/>
    <n v="600"/>
    <n v="1"/>
    <d v="2024-06-28T14:42:42"/>
    <d v="2024-06-28T14:42:42"/>
    <n v="600"/>
    <n v="600"/>
    <n v="600"/>
    <n v="600"/>
    <n v="530"/>
    <b v="0"/>
    <s v="D130"/>
    <m/>
    <b v="0"/>
    <x v="4"/>
    <m/>
    <m/>
    <m/>
    <m/>
  </r>
  <r>
    <s v="TX"/>
    <s v="US"/>
    <n v="1400"/>
    <n v="14"/>
    <d v="2024-10-20T14:41:42"/>
    <d v="2025-11-20T19:13:07"/>
    <n v="100"/>
    <n v="100"/>
    <n v="100"/>
    <n v="100"/>
    <n v="20"/>
    <b v="1"/>
    <s v="D131"/>
    <n v="30"/>
    <b v="1"/>
    <x v="0"/>
    <n v="3"/>
    <n v="1"/>
    <n v="2"/>
    <n v="312"/>
  </r>
  <r>
    <s v="MO"/>
    <s v="US"/>
    <n v="75"/>
    <n v="1"/>
    <d v="2024-09-17T14:27:08"/>
    <d v="2024-09-17T14:27:08"/>
    <n v="75"/>
    <n v="75"/>
    <n v="75"/>
    <n v="75"/>
    <n v="450"/>
    <b v="0"/>
    <s v="D132"/>
    <m/>
    <b v="0"/>
    <x v="4"/>
    <m/>
    <m/>
    <m/>
    <m/>
  </r>
  <r>
    <s v="AZ"/>
    <s v="US"/>
    <n v="4560"/>
    <n v="41"/>
    <d v="2022-09-01T21:30:03"/>
    <d v="2025-12-01T19:25:26"/>
    <n v="111.219512195121"/>
    <n v="51.5"/>
    <n v="2500"/>
    <n v="51.5"/>
    <n v="9"/>
    <b v="1"/>
    <s v="D133"/>
    <n v="29"/>
    <b v="1"/>
    <x v="2"/>
    <n v="3"/>
    <n v="4"/>
    <n v="4"/>
    <n v="344"/>
  </r>
  <r>
    <s v="AZ"/>
    <s v="US"/>
    <n v="8034"/>
    <n v="39"/>
    <d v="2022-09-26T17:44:51"/>
    <d v="2025-11-26T19:12:33"/>
    <n v="206"/>
    <n v="206"/>
    <n v="206"/>
    <n v="206"/>
    <n v="14"/>
    <b v="1"/>
    <s v="D134"/>
    <n v="30"/>
    <b v="1"/>
    <x v="2"/>
    <n v="3"/>
    <n v="4"/>
    <n v="4"/>
    <n v="344"/>
  </r>
  <r>
    <s v="TX"/>
    <s v="US"/>
    <n v="2100"/>
    <n v="14"/>
    <d v="2024-11-01T15:32:09"/>
    <d v="2025-12-01T19:25:51"/>
    <n v="150"/>
    <n v="150"/>
    <n v="150"/>
    <n v="150"/>
    <n v="9"/>
    <b v="1"/>
    <s v="D135"/>
    <n v="29"/>
    <b v="1"/>
    <x v="0"/>
    <n v="3"/>
    <n v="1"/>
    <n v="3"/>
    <n v="313"/>
  </r>
  <r>
    <s v="TX"/>
    <s v="US"/>
    <n v="309"/>
    <n v="3"/>
    <d v="2022-08-17T17:46:35"/>
    <d v="2022-10-17T17:46:33"/>
    <n v="103"/>
    <n v="103"/>
    <n v="103"/>
    <n v="103"/>
    <n v="1150"/>
    <b v="1"/>
    <s v="D136"/>
    <n v="30"/>
    <b v="1"/>
    <x v="1"/>
    <n v="1"/>
    <n v="1"/>
    <n v="1"/>
    <n v="111"/>
  </r>
  <r>
    <s v="AZ"/>
    <s v="US"/>
    <n v="3553.5"/>
    <n v="23"/>
    <d v="2022-10-01T21:32:59"/>
    <d v="2024-08-01T15:19:23"/>
    <n v="154.5"/>
    <n v="154.5"/>
    <n v="154.5"/>
    <n v="154.5"/>
    <n v="496"/>
    <b v="1"/>
    <s v="D137"/>
    <n v="30"/>
    <b v="1"/>
    <x v="1"/>
    <n v="1"/>
    <n v="3"/>
    <n v="4"/>
    <n v="134"/>
  </r>
  <r>
    <s v="AZ"/>
    <s v="US"/>
    <n v="2909"/>
    <n v="8"/>
    <d v="2022-09-17T17:48:13"/>
    <d v="2025-09-23T19:16:25"/>
    <n v="363.625"/>
    <n v="300"/>
    <n v="1000"/>
    <n v="100"/>
    <n v="78"/>
    <b v="1"/>
    <s v="D138"/>
    <n v="138"/>
    <b v="0"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4FDBFF-17FB-445C-BF45-25DDBC874DC9}" name="PivotTable2" cacheId="5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G13" firstHeaderRow="0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9">
        <item x="7"/>
        <item x="2"/>
        <item x="1"/>
        <item x="6"/>
        <item x="3"/>
        <item x="4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Median Donation Amounts" fld="7" baseField="0" baseItem="0" numFmtId="164"/>
    <dataField name="Average of Median Donation Amounts" fld="7" subtotal="average" baseField="0" baseItem="0"/>
    <dataField name="Min of Median Donation Amounts" fld="7" subtotal="min" baseField="0" baseItem="0"/>
    <dataField name="Max of Median Donation Amounts" fld="7" subtotal="max" baseField="0" baseItem="0"/>
    <dataField name="Number of Donors" fld="12" subtotal="count" baseField="0" baseItem="0"/>
  </dataFields>
  <formats count="2">
    <format dxfId="3">
      <pivotArea outline="0" collapsedLevelsAreSubtotals="1" fieldPosition="0"/>
    </format>
    <format dxfId="4">
      <pivotArea outline="0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5A1981-0A2E-41E3-85E2-E20AF6F3C268}" name="anonymized_donor_table" displayName="anonymized_donor_table" ref="A1:T140" totalsRowShown="0" headerRowDxfId="2">
  <autoFilter ref="A1:T140" xr:uid="{CD5A1981-0A2E-41E3-85E2-E20AF6F3C268}"/>
  <tableColumns count="20">
    <tableColumn id="1" xr3:uid="{8FBB090D-21AD-4893-8609-0B3FA9FF9F9A}" name="state"/>
    <tableColumn id="2" xr3:uid="{107855A6-6C5A-4AD5-B19C-DBFC5F4CA9F9}" name="country"/>
    <tableColumn id="3" xr3:uid="{84B8D1E1-C258-4504-B52F-BAC0A9B0D959}" name="monetary"/>
    <tableColumn id="4" xr3:uid="{BC87B918-46AF-4B49-A432-D321AD9F240D}" name="frequency"/>
    <tableColumn id="5" xr3:uid="{82A1AA35-D609-40C2-9858-72B864EE64E8}" name="donation_start_date" dataDxfId="1"/>
    <tableColumn id="6" xr3:uid="{CCC49FF1-7149-416D-90BD-5D69B194CC1B}" name="last_donation_date" dataDxfId="0"/>
    <tableColumn id="7" xr3:uid="{6239D3F1-A052-4095-AAE5-BEFB2BEAFED4}" name="mean_amount"/>
    <tableColumn id="8" xr3:uid="{F2914C60-BB95-467D-9A27-D93B7C817B11}" name="med_amount"/>
    <tableColumn id="9" xr3:uid="{410BEBE9-CD7C-45B5-8217-2C98665721B1}" name="max_amount"/>
    <tableColumn id="10" xr3:uid="{D6D198BA-5E6C-4528-9530-05B27056EAC5}" name="min_amount"/>
    <tableColumn id="11" xr3:uid="{FD56478C-3FC6-4C5C-9B84-F6B68D40B182}" name="recency"/>
    <tableColumn id="12" xr3:uid="{CABDE297-0B9A-4F74-8177-46D16438E49E}" name="is_recurring"/>
    <tableColumn id="13" xr3:uid="{A46DDBE6-4204-4F46-AD0F-CB7CD93A9D97}" name="donor_id"/>
    <tableColumn id="14" xr3:uid="{2BEFCD49-467E-4ED7-9FA9-4CC4E25FC7E7}" name="median_recent_interval"/>
    <tableColumn id="15" xr3:uid="{36D6BB3B-50B9-4134-9384-D46FB4EFE480}" name="is_monthly"/>
    <tableColumn id="16" xr3:uid="{FEA1C863-0691-4A85-BA45-149B2906EE05}" name="segment"/>
    <tableColumn id="17" xr3:uid="{7B1B6022-6B09-43FB-A9C1-5F46C2C03DA0}" name="r_score"/>
    <tableColumn id="18" xr3:uid="{71C53DAD-13B2-43AC-8A28-F4D8C18C3848}" name="f_score"/>
    <tableColumn id="19" xr3:uid="{D57C3119-E73B-435F-A44F-A23ED44BC468}" name="m_score"/>
    <tableColumn id="20" xr3:uid="{AB5EDA0E-DC08-40EA-93CB-B9038A4E03CC}" name="rfm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EAD87-3203-4DF0-B8CB-310912CF67F2}">
  <dimension ref="A1:AA140"/>
  <sheetViews>
    <sheetView workbookViewId="0">
      <selection activeCell="W15" sqref="W15"/>
    </sheetView>
  </sheetViews>
  <sheetFormatPr defaultRowHeight="15"/>
  <cols>
    <col min="1" max="1" width="12.85546875" customWidth="1"/>
    <col min="2" max="2" width="15.5703125" customWidth="1"/>
    <col min="3" max="3" width="16" customWidth="1"/>
    <col min="4" max="4" width="15.85546875" customWidth="1"/>
    <col min="5" max="5" width="24.5703125" style="1" customWidth="1"/>
    <col min="6" max="6" width="22.7109375" style="1" customWidth="1"/>
    <col min="7" max="7" width="19" customWidth="1"/>
    <col min="8" max="8" width="17.42578125" customWidth="1"/>
    <col min="9" max="10" width="17" customWidth="1"/>
    <col min="11" max="11" width="12" customWidth="1"/>
    <col min="12" max="12" width="15.7109375" customWidth="1"/>
    <col min="13" max="13" width="13.42578125" customWidth="1"/>
    <col min="14" max="14" width="25.28515625" bestFit="1" customWidth="1"/>
    <col min="15" max="15" width="15.140625" customWidth="1"/>
    <col min="16" max="16" width="16.42578125" bestFit="1" customWidth="1"/>
    <col min="17" max="17" width="12.7109375" customWidth="1"/>
    <col min="18" max="18" width="11.5703125" customWidth="1"/>
    <col min="19" max="19" width="14" customWidth="1"/>
    <col min="20" max="20" width="15.7109375" customWidth="1"/>
    <col min="25" max="25" width="18.140625" customWidth="1"/>
    <col min="26" max="26" width="18.42578125" customWidth="1"/>
    <col min="27" max="27" width="18" customWidth="1"/>
  </cols>
  <sheetData>
    <row r="1" spans="1:27" s="7" customForma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7" t="s">
        <v>19</v>
      </c>
    </row>
    <row r="2" spans="1:27">
      <c r="A2" t="s">
        <v>20</v>
      </c>
      <c r="B2" t="s">
        <v>21</v>
      </c>
      <c r="C2">
        <v>1400</v>
      </c>
      <c r="D2">
        <v>14</v>
      </c>
      <c r="E2" s="1">
        <v>45577.59851851852</v>
      </c>
      <c r="F2" s="1">
        <v>45973.800138888888</v>
      </c>
      <c r="G2">
        <v>100</v>
      </c>
      <c r="H2">
        <v>100</v>
      </c>
      <c r="I2">
        <v>100</v>
      </c>
      <c r="J2">
        <v>100</v>
      </c>
      <c r="K2">
        <v>28</v>
      </c>
      <c r="L2" t="b">
        <v>1</v>
      </c>
      <c r="M2" t="s">
        <v>22</v>
      </c>
      <c r="N2">
        <v>30</v>
      </c>
      <c r="O2" t="b">
        <v>1</v>
      </c>
      <c r="P2" t="s">
        <v>23</v>
      </c>
      <c r="Q2">
        <v>3</v>
      </c>
      <c r="R2">
        <v>1</v>
      </c>
      <c r="S2">
        <v>2</v>
      </c>
      <c r="T2">
        <v>312</v>
      </c>
    </row>
    <row r="3" spans="1:27">
      <c r="A3" t="s">
        <v>24</v>
      </c>
      <c r="B3" t="s">
        <v>21</v>
      </c>
      <c r="C3">
        <v>3106</v>
      </c>
      <c r="D3">
        <v>30</v>
      </c>
      <c r="E3" s="1">
        <v>44638.986111111109</v>
      </c>
      <c r="F3" s="1">
        <v>45673.550532407404</v>
      </c>
      <c r="G3">
        <v>103.533333333333</v>
      </c>
      <c r="H3">
        <v>100</v>
      </c>
      <c r="I3">
        <v>206</v>
      </c>
      <c r="J3">
        <v>100</v>
      </c>
      <c r="K3">
        <v>329</v>
      </c>
      <c r="L3" t="b">
        <v>1</v>
      </c>
      <c r="M3" t="s">
        <v>25</v>
      </c>
      <c r="N3">
        <v>30</v>
      </c>
      <c r="O3" t="b">
        <v>1</v>
      </c>
      <c r="P3" t="s">
        <v>26</v>
      </c>
      <c r="Q3">
        <v>1</v>
      </c>
      <c r="R3">
        <v>3</v>
      </c>
      <c r="S3">
        <v>3</v>
      </c>
      <c r="T3">
        <v>133</v>
      </c>
      <c r="Z3" s="4"/>
      <c r="AA3" s="4"/>
    </row>
    <row r="4" spans="1:27">
      <c r="A4" t="s">
        <v>24</v>
      </c>
      <c r="B4" t="s">
        <v>21</v>
      </c>
      <c r="C4">
        <v>3900</v>
      </c>
      <c r="D4">
        <v>39</v>
      </c>
      <c r="E4" s="1">
        <v>44819.835925925923</v>
      </c>
      <c r="F4" s="1">
        <v>45976.806527777779</v>
      </c>
      <c r="G4">
        <v>100</v>
      </c>
      <c r="H4">
        <v>100</v>
      </c>
      <c r="I4">
        <v>100</v>
      </c>
      <c r="J4">
        <v>100</v>
      </c>
      <c r="K4">
        <v>25</v>
      </c>
      <c r="L4" t="b">
        <v>1</v>
      </c>
      <c r="M4" t="s">
        <v>27</v>
      </c>
      <c r="N4">
        <v>30</v>
      </c>
      <c r="O4" t="b">
        <v>1</v>
      </c>
      <c r="P4" t="s">
        <v>28</v>
      </c>
      <c r="Q4">
        <v>3</v>
      </c>
      <c r="R4">
        <v>4</v>
      </c>
      <c r="S4">
        <v>4</v>
      </c>
      <c r="T4">
        <v>344</v>
      </c>
      <c r="Y4" s="4"/>
      <c r="AA4" s="5"/>
    </row>
    <row r="5" spans="1:27">
      <c r="A5" t="s">
        <v>20</v>
      </c>
      <c r="B5" t="s">
        <v>21</v>
      </c>
      <c r="C5">
        <v>2878</v>
      </c>
      <c r="D5">
        <v>26</v>
      </c>
      <c r="E5" s="1">
        <v>44695.199999999997</v>
      </c>
      <c r="F5" s="1">
        <v>45566.640798611108</v>
      </c>
      <c r="G5">
        <v>110.692307692307</v>
      </c>
      <c r="H5">
        <v>103</v>
      </c>
      <c r="I5">
        <v>206</v>
      </c>
      <c r="J5">
        <v>103</v>
      </c>
      <c r="K5">
        <v>435</v>
      </c>
      <c r="L5" t="b">
        <v>1</v>
      </c>
      <c r="M5" t="s">
        <v>29</v>
      </c>
      <c r="N5">
        <v>30</v>
      </c>
      <c r="O5" t="b">
        <v>1</v>
      </c>
      <c r="P5" t="s">
        <v>26</v>
      </c>
      <c r="Q5">
        <v>1</v>
      </c>
      <c r="R5">
        <v>3</v>
      </c>
      <c r="S5">
        <v>3</v>
      </c>
      <c r="T5">
        <v>133</v>
      </c>
      <c r="Y5" s="6"/>
      <c r="AA5" s="5"/>
    </row>
    <row r="6" spans="1:27">
      <c r="A6" t="s">
        <v>24</v>
      </c>
      <c r="B6" t="s">
        <v>21</v>
      </c>
      <c r="C6">
        <v>865.2</v>
      </c>
      <c r="D6">
        <v>21</v>
      </c>
      <c r="E6" s="1">
        <v>44850.742777777778</v>
      </c>
      <c r="F6" s="1">
        <v>45459.625902777778</v>
      </c>
      <c r="G6">
        <v>41.2</v>
      </c>
      <c r="H6">
        <v>41.2</v>
      </c>
      <c r="I6">
        <v>41.2</v>
      </c>
      <c r="J6">
        <v>41.2</v>
      </c>
      <c r="K6">
        <v>542</v>
      </c>
      <c r="L6" t="b">
        <v>1</v>
      </c>
      <c r="M6" t="s">
        <v>30</v>
      </c>
      <c r="N6">
        <v>30</v>
      </c>
      <c r="O6" t="b">
        <v>1</v>
      </c>
      <c r="P6" t="s">
        <v>26</v>
      </c>
      <c r="Q6">
        <v>1</v>
      </c>
      <c r="R6">
        <v>3</v>
      </c>
      <c r="S6">
        <v>1</v>
      </c>
      <c r="T6">
        <v>131</v>
      </c>
      <c r="Y6" s="4"/>
      <c r="AA6" s="5"/>
    </row>
    <row r="7" spans="1:27">
      <c r="A7" t="s">
        <v>24</v>
      </c>
      <c r="B7" t="s">
        <v>21</v>
      </c>
      <c r="C7">
        <v>370.8</v>
      </c>
      <c r="D7">
        <v>18</v>
      </c>
      <c r="E7" s="1">
        <v>44840.740914351853</v>
      </c>
      <c r="F7" s="1">
        <v>45357.740254629629</v>
      </c>
      <c r="G7">
        <v>20.6</v>
      </c>
      <c r="H7">
        <v>20.6</v>
      </c>
      <c r="I7">
        <v>20.6</v>
      </c>
      <c r="J7">
        <v>20.6</v>
      </c>
      <c r="K7">
        <v>644</v>
      </c>
      <c r="L7" t="b">
        <v>1</v>
      </c>
      <c r="M7" t="s">
        <v>31</v>
      </c>
      <c r="N7">
        <v>30</v>
      </c>
      <c r="O7" t="b">
        <v>1</v>
      </c>
      <c r="P7" t="s">
        <v>26</v>
      </c>
      <c r="Q7">
        <v>1</v>
      </c>
      <c r="R7">
        <v>2</v>
      </c>
      <c r="S7">
        <v>1</v>
      </c>
      <c r="T7">
        <v>121</v>
      </c>
    </row>
    <row r="8" spans="1:27">
      <c r="A8" t="s">
        <v>24</v>
      </c>
      <c r="B8" t="s">
        <v>21</v>
      </c>
      <c r="C8">
        <v>4500</v>
      </c>
      <c r="D8">
        <v>41</v>
      </c>
      <c r="E8" s="1">
        <v>44642.804166666669</v>
      </c>
      <c r="F8" s="1">
        <v>45985.801701388889</v>
      </c>
      <c r="G8">
        <v>109.75609756097499</v>
      </c>
      <c r="H8">
        <v>100</v>
      </c>
      <c r="I8">
        <v>500</v>
      </c>
      <c r="J8">
        <v>100</v>
      </c>
      <c r="K8">
        <v>16</v>
      </c>
      <c r="L8" t="b">
        <v>1</v>
      </c>
      <c r="M8" t="s">
        <v>32</v>
      </c>
      <c r="N8">
        <v>30</v>
      </c>
      <c r="O8" t="b">
        <v>1</v>
      </c>
      <c r="P8" t="s">
        <v>28</v>
      </c>
      <c r="Q8">
        <v>3</v>
      </c>
      <c r="R8">
        <v>4</v>
      </c>
      <c r="S8">
        <v>4</v>
      </c>
      <c r="T8">
        <v>344</v>
      </c>
    </row>
    <row r="9" spans="1:27">
      <c r="A9" t="s">
        <v>24</v>
      </c>
      <c r="B9" t="s">
        <v>21</v>
      </c>
      <c r="C9">
        <v>2000</v>
      </c>
      <c r="D9">
        <v>20</v>
      </c>
      <c r="E9" s="1">
        <v>45413.875127314815</v>
      </c>
      <c r="F9" s="1">
        <v>45992.809560185182</v>
      </c>
      <c r="G9">
        <v>100</v>
      </c>
      <c r="H9">
        <v>100</v>
      </c>
      <c r="I9">
        <v>100</v>
      </c>
      <c r="J9">
        <v>100</v>
      </c>
      <c r="K9">
        <v>9</v>
      </c>
      <c r="L9" t="b">
        <v>1</v>
      </c>
      <c r="M9" t="s">
        <v>33</v>
      </c>
      <c r="N9">
        <v>29</v>
      </c>
      <c r="O9" t="b">
        <v>1</v>
      </c>
      <c r="P9" t="s">
        <v>34</v>
      </c>
      <c r="Q9">
        <v>3</v>
      </c>
      <c r="R9">
        <v>3</v>
      </c>
      <c r="S9">
        <v>3</v>
      </c>
      <c r="T9">
        <v>333</v>
      </c>
    </row>
    <row r="10" spans="1:27">
      <c r="A10" t="s">
        <v>24</v>
      </c>
      <c r="B10" t="s">
        <v>21</v>
      </c>
      <c r="C10">
        <v>50</v>
      </c>
      <c r="D10">
        <v>1</v>
      </c>
      <c r="E10" s="1">
        <v>44819.135613425926</v>
      </c>
      <c r="F10" s="1">
        <v>44819.135613425926</v>
      </c>
      <c r="G10">
        <v>50</v>
      </c>
      <c r="H10">
        <v>50</v>
      </c>
      <c r="I10">
        <v>50</v>
      </c>
      <c r="J10">
        <v>50</v>
      </c>
      <c r="K10">
        <v>1183</v>
      </c>
      <c r="L10" t="b">
        <v>0</v>
      </c>
      <c r="M10" t="s">
        <v>35</v>
      </c>
      <c r="O10" t="b">
        <v>0</v>
      </c>
      <c r="P10" t="s">
        <v>36</v>
      </c>
    </row>
    <row r="11" spans="1:27">
      <c r="A11" t="s">
        <v>24</v>
      </c>
      <c r="B11" t="s">
        <v>21</v>
      </c>
      <c r="C11">
        <v>103</v>
      </c>
      <c r="D11">
        <v>1</v>
      </c>
      <c r="E11" s="1">
        <v>44695.21875</v>
      </c>
      <c r="F11" s="1">
        <v>44695.21875</v>
      </c>
      <c r="G11">
        <v>103</v>
      </c>
      <c r="H11">
        <v>103</v>
      </c>
      <c r="I11">
        <v>103</v>
      </c>
      <c r="J11">
        <v>103</v>
      </c>
      <c r="K11">
        <v>1307</v>
      </c>
      <c r="L11" t="b">
        <v>0</v>
      </c>
      <c r="M11" t="s">
        <v>37</v>
      </c>
      <c r="O11" t="b">
        <v>0</v>
      </c>
      <c r="P11" t="s">
        <v>36</v>
      </c>
    </row>
    <row r="12" spans="1:27">
      <c r="A12" t="s">
        <v>20</v>
      </c>
      <c r="B12" t="s">
        <v>21</v>
      </c>
      <c r="C12">
        <v>1400</v>
      </c>
      <c r="D12">
        <v>14</v>
      </c>
      <c r="E12" s="1">
        <v>45597.642824074072</v>
      </c>
      <c r="F12" s="1">
        <v>45992.808819444443</v>
      </c>
      <c r="G12">
        <v>100</v>
      </c>
      <c r="H12">
        <v>100</v>
      </c>
      <c r="I12">
        <v>100</v>
      </c>
      <c r="J12">
        <v>100</v>
      </c>
      <c r="K12">
        <v>9</v>
      </c>
      <c r="L12" t="b">
        <v>1</v>
      </c>
      <c r="M12" t="s">
        <v>38</v>
      </c>
      <c r="N12">
        <v>29</v>
      </c>
      <c r="O12" t="b">
        <v>1</v>
      </c>
      <c r="P12" t="s">
        <v>23</v>
      </c>
      <c r="Q12">
        <v>3</v>
      </c>
      <c r="R12">
        <v>1</v>
      </c>
      <c r="S12">
        <v>2</v>
      </c>
      <c r="T12">
        <v>312</v>
      </c>
    </row>
    <row r="13" spans="1:27">
      <c r="A13" t="s">
        <v>20</v>
      </c>
      <c r="B13" t="s">
        <v>21</v>
      </c>
      <c r="C13">
        <v>2163</v>
      </c>
      <c r="D13">
        <v>14</v>
      </c>
      <c r="E13" s="1">
        <v>45580.622546296298</v>
      </c>
      <c r="F13" s="1">
        <v>45976.806539351855</v>
      </c>
      <c r="G13">
        <v>154.5</v>
      </c>
      <c r="H13">
        <v>154.5</v>
      </c>
      <c r="I13">
        <v>154.5</v>
      </c>
      <c r="J13">
        <v>154.5</v>
      </c>
      <c r="K13">
        <v>25</v>
      </c>
      <c r="L13" t="b">
        <v>1</v>
      </c>
      <c r="M13" t="s">
        <v>39</v>
      </c>
      <c r="N13">
        <v>30</v>
      </c>
      <c r="O13" t="b">
        <v>1</v>
      </c>
      <c r="P13" t="s">
        <v>23</v>
      </c>
      <c r="Q13">
        <v>3</v>
      </c>
      <c r="R13">
        <v>1</v>
      </c>
      <c r="S13">
        <v>3</v>
      </c>
      <c r="T13">
        <v>313</v>
      </c>
    </row>
    <row r="14" spans="1:27">
      <c r="A14" t="s">
        <v>40</v>
      </c>
      <c r="B14" t="s">
        <v>21</v>
      </c>
      <c r="C14">
        <v>1957</v>
      </c>
      <c r="D14">
        <v>38</v>
      </c>
      <c r="E14" s="1">
        <v>44850.742766203701</v>
      </c>
      <c r="F14" s="1">
        <v>45977.805046296293</v>
      </c>
      <c r="G14">
        <v>51.5</v>
      </c>
      <c r="H14">
        <v>51.5</v>
      </c>
      <c r="I14">
        <v>51.5</v>
      </c>
      <c r="J14">
        <v>51.5</v>
      </c>
      <c r="K14">
        <v>24</v>
      </c>
      <c r="L14" t="b">
        <v>1</v>
      </c>
      <c r="M14" t="s">
        <v>41</v>
      </c>
      <c r="N14">
        <v>31</v>
      </c>
      <c r="O14" t="b">
        <v>1</v>
      </c>
      <c r="P14" t="s">
        <v>34</v>
      </c>
      <c r="Q14">
        <v>3</v>
      </c>
      <c r="R14">
        <v>4</v>
      </c>
      <c r="S14">
        <v>2</v>
      </c>
      <c r="T14">
        <v>342</v>
      </c>
    </row>
    <row r="15" spans="1:27">
      <c r="A15" t="s">
        <v>20</v>
      </c>
      <c r="B15" t="s">
        <v>21</v>
      </c>
      <c r="C15">
        <v>3000</v>
      </c>
      <c r="D15">
        <v>1</v>
      </c>
      <c r="E15" s="1">
        <v>45899.803599537037</v>
      </c>
      <c r="F15" s="1">
        <v>45899.803599537037</v>
      </c>
      <c r="G15">
        <v>3000</v>
      </c>
      <c r="H15">
        <v>3000</v>
      </c>
      <c r="I15">
        <v>3000</v>
      </c>
      <c r="J15">
        <v>3000</v>
      </c>
      <c r="K15">
        <v>102</v>
      </c>
      <c r="L15" t="b">
        <v>0</v>
      </c>
      <c r="M15" t="s">
        <v>42</v>
      </c>
      <c r="O15" t="b">
        <v>0</v>
      </c>
      <c r="P15" t="s">
        <v>36</v>
      </c>
    </row>
    <row r="16" spans="1:27">
      <c r="A16" t="s">
        <v>43</v>
      </c>
      <c r="B16" t="s">
        <v>21</v>
      </c>
      <c r="C16">
        <v>103</v>
      </c>
      <c r="D16">
        <v>1</v>
      </c>
      <c r="E16" s="1">
        <v>44819.912581018521</v>
      </c>
      <c r="F16" s="1">
        <v>44819.912581018521</v>
      </c>
      <c r="G16">
        <v>103</v>
      </c>
      <c r="H16">
        <v>103</v>
      </c>
      <c r="I16">
        <v>103</v>
      </c>
      <c r="J16">
        <v>103</v>
      </c>
      <c r="K16">
        <v>1182</v>
      </c>
      <c r="L16" t="b">
        <v>0</v>
      </c>
      <c r="M16" t="s">
        <v>44</v>
      </c>
      <c r="O16" t="b">
        <v>0</v>
      </c>
      <c r="P16" t="s">
        <v>36</v>
      </c>
    </row>
    <row r="17" spans="1:20">
      <c r="A17" t="s">
        <v>24</v>
      </c>
      <c r="B17" t="s">
        <v>21</v>
      </c>
      <c r="C17">
        <v>750</v>
      </c>
      <c r="D17">
        <v>15</v>
      </c>
      <c r="E17" s="1">
        <v>44831.736562500002</v>
      </c>
      <c r="F17" s="1">
        <v>45257.738576388889</v>
      </c>
      <c r="G17">
        <v>50</v>
      </c>
      <c r="H17">
        <v>50</v>
      </c>
      <c r="I17">
        <v>50</v>
      </c>
      <c r="J17">
        <v>50</v>
      </c>
      <c r="K17">
        <v>744</v>
      </c>
      <c r="L17" t="b">
        <v>1</v>
      </c>
      <c r="M17" t="s">
        <v>45</v>
      </c>
      <c r="N17">
        <v>30</v>
      </c>
      <c r="O17" t="b">
        <v>1</v>
      </c>
      <c r="P17" t="s">
        <v>26</v>
      </c>
      <c r="Q17">
        <v>1</v>
      </c>
      <c r="R17">
        <v>2</v>
      </c>
      <c r="S17">
        <v>1</v>
      </c>
      <c r="T17">
        <v>121</v>
      </c>
    </row>
    <row r="18" spans="1:20">
      <c r="A18" t="s">
        <v>46</v>
      </c>
      <c r="B18" t="s">
        <v>21</v>
      </c>
      <c r="C18">
        <v>122.4</v>
      </c>
      <c r="D18">
        <v>12</v>
      </c>
      <c r="E18" s="1">
        <v>44775.745694444442</v>
      </c>
      <c r="F18" s="1">
        <v>45142.746793981481</v>
      </c>
      <c r="G18">
        <v>10.199999999999999</v>
      </c>
      <c r="H18">
        <v>10.3</v>
      </c>
      <c r="I18">
        <v>10.3</v>
      </c>
      <c r="J18">
        <v>10</v>
      </c>
      <c r="K18">
        <v>859</v>
      </c>
      <c r="L18" t="b">
        <v>1</v>
      </c>
      <c r="M18" t="s">
        <v>47</v>
      </c>
      <c r="N18">
        <v>30</v>
      </c>
      <c r="O18" t="b">
        <v>1</v>
      </c>
      <c r="P18" t="s">
        <v>26</v>
      </c>
      <c r="Q18">
        <v>1</v>
      </c>
      <c r="R18">
        <v>1</v>
      </c>
      <c r="S18">
        <v>1</v>
      </c>
      <c r="T18">
        <v>111</v>
      </c>
    </row>
    <row r="19" spans="1:20">
      <c r="A19" t="s">
        <v>40</v>
      </c>
      <c r="B19" t="s">
        <v>21</v>
      </c>
      <c r="C19">
        <v>4223</v>
      </c>
      <c r="D19">
        <v>40</v>
      </c>
      <c r="E19" s="1">
        <v>44837.751215277778</v>
      </c>
      <c r="F19" s="1">
        <v>45994.80091435185</v>
      </c>
      <c r="G19">
        <v>105.575</v>
      </c>
      <c r="H19">
        <v>103</v>
      </c>
      <c r="I19">
        <v>206</v>
      </c>
      <c r="J19">
        <v>103</v>
      </c>
      <c r="K19">
        <v>7</v>
      </c>
      <c r="L19" t="b">
        <v>1</v>
      </c>
      <c r="M19" t="s">
        <v>48</v>
      </c>
      <c r="N19">
        <v>30</v>
      </c>
      <c r="O19" t="b">
        <v>1</v>
      </c>
      <c r="P19" t="s">
        <v>28</v>
      </c>
      <c r="Q19">
        <v>3</v>
      </c>
      <c r="R19">
        <v>4</v>
      </c>
      <c r="S19">
        <v>4</v>
      </c>
      <c r="T19">
        <v>344</v>
      </c>
    </row>
    <row r="20" spans="1:20">
      <c r="A20" t="s">
        <v>49</v>
      </c>
      <c r="B20" t="s">
        <v>21</v>
      </c>
      <c r="C20">
        <v>12</v>
      </c>
      <c r="D20">
        <v>1</v>
      </c>
      <c r="E20" s="1">
        <v>44614.167361111111</v>
      </c>
      <c r="F20" s="1">
        <v>44614.167361111111</v>
      </c>
      <c r="G20">
        <v>12</v>
      </c>
      <c r="H20">
        <v>12</v>
      </c>
      <c r="I20">
        <v>12</v>
      </c>
      <c r="J20">
        <v>12</v>
      </c>
      <c r="K20">
        <v>1388</v>
      </c>
      <c r="L20" t="b">
        <v>0</v>
      </c>
      <c r="M20" t="s">
        <v>50</v>
      </c>
      <c r="O20" t="b">
        <v>0</v>
      </c>
      <c r="P20" t="s">
        <v>36</v>
      </c>
    </row>
    <row r="21" spans="1:20">
      <c r="A21" t="s">
        <v>20</v>
      </c>
      <c r="B21" t="s">
        <v>21</v>
      </c>
      <c r="C21">
        <v>2200</v>
      </c>
      <c r="D21">
        <v>2</v>
      </c>
      <c r="E21" s="1">
        <v>45474.375</v>
      </c>
      <c r="F21" s="1">
        <v>45880.375</v>
      </c>
      <c r="G21">
        <v>1100</v>
      </c>
      <c r="H21">
        <v>1100</v>
      </c>
      <c r="I21">
        <v>1200</v>
      </c>
      <c r="J21">
        <v>1000</v>
      </c>
      <c r="K21">
        <v>122</v>
      </c>
      <c r="L21" t="b">
        <v>1</v>
      </c>
      <c r="M21" t="s">
        <v>51</v>
      </c>
      <c r="N21">
        <v>406</v>
      </c>
      <c r="O21" t="b">
        <v>0</v>
      </c>
      <c r="P21" t="s">
        <v>52</v>
      </c>
    </row>
    <row r="22" spans="1:20">
      <c r="A22" t="s">
        <v>24</v>
      </c>
      <c r="B22" t="s">
        <v>21</v>
      </c>
      <c r="C22">
        <v>480</v>
      </c>
      <c r="D22">
        <v>3</v>
      </c>
      <c r="E22" s="1">
        <v>44804.733773148146</v>
      </c>
      <c r="F22" s="1">
        <v>44831.997870370367</v>
      </c>
      <c r="G22">
        <v>160</v>
      </c>
      <c r="H22">
        <v>160</v>
      </c>
      <c r="I22">
        <v>160</v>
      </c>
      <c r="J22">
        <v>160</v>
      </c>
      <c r="K22">
        <v>1170</v>
      </c>
      <c r="L22" t="b">
        <v>1</v>
      </c>
      <c r="M22" t="s">
        <v>53</v>
      </c>
      <c r="N22">
        <v>13</v>
      </c>
      <c r="O22" t="b">
        <v>1</v>
      </c>
      <c r="P22" t="s">
        <v>26</v>
      </c>
      <c r="Q22">
        <v>1</v>
      </c>
      <c r="R22">
        <v>1</v>
      </c>
      <c r="S22">
        <v>1</v>
      </c>
      <c r="T22">
        <v>111</v>
      </c>
    </row>
    <row r="23" spans="1:20">
      <c r="A23" t="s">
        <v>20</v>
      </c>
      <c r="B23" t="s">
        <v>21</v>
      </c>
      <c r="C23">
        <v>1081.5</v>
      </c>
      <c r="D23">
        <v>14</v>
      </c>
      <c r="E23" s="1">
        <v>45581.604791666665</v>
      </c>
      <c r="F23" s="1">
        <v>45977.805196759262</v>
      </c>
      <c r="G23">
        <v>77.25</v>
      </c>
      <c r="H23">
        <v>77.25</v>
      </c>
      <c r="I23">
        <v>77.25</v>
      </c>
      <c r="J23">
        <v>77.25</v>
      </c>
      <c r="K23">
        <v>24</v>
      </c>
      <c r="L23" t="b">
        <v>1</v>
      </c>
      <c r="M23" t="s">
        <v>54</v>
      </c>
      <c r="N23">
        <v>31</v>
      </c>
      <c r="O23" t="b">
        <v>1</v>
      </c>
      <c r="P23" t="s">
        <v>23</v>
      </c>
      <c r="Q23">
        <v>3</v>
      </c>
      <c r="R23">
        <v>1</v>
      </c>
      <c r="S23">
        <v>2</v>
      </c>
      <c r="T23">
        <v>312</v>
      </c>
    </row>
    <row r="24" spans="1:20">
      <c r="A24" t="s">
        <v>55</v>
      </c>
      <c r="B24" t="s">
        <v>21</v>
      </c>
      <c r="C24">
        <v>1050</v>
      </c>
      <c r="D24">
        <v>14</v>
      </c>
      <c r="E24" s="1">
        <v>45600.550543981481</v>
      </c>
      <c r="F24" s="1">
        <v>45995.800613425927</v>
      </c>
      <c r="G24">
        <v>75</v>
      </c>
      <c r="H24">
        <v>75</v>
      </c>
      <c r="I24">
        <v>75</v>
      </c>
      <c r="J24">
        <v>75</v>
      </c>
      <c r="K24">
        <v>6</v>
      </c>
      <c r="L24" t="b">
        <v>1</v>
      </c>
      <c r="M24" t="s">
        <v>56</v>
      </c>
      <c r="N24">
        <v>29</v>
      </c>
      <c r="O24" t="b">
        <v>1</v>
      </c>
      <c r="P24" t="s">
        <v>23</v>
      </c>
      <c r="Q24">
        <v>3</v>
      </c>
      <c r="R24">
        <v>1</v>
      </c>
      <c r="S24">
        <v>2</v>
      </c>
      <c r="T24">
        <v>312</v>
      </c>
    </row>
    <row r="25" spans="1:20">
      <c r="A25" t="s">
        <v>24</v>
      </c>
      <c r="B25" t="s">
        <v>21</v>
      </c>
      <c r="C25">
        <v>2850</v>
      </c>
      <c r="D25">
        <v>19</v>
      </c>
      <c r="E25" s="1">
        <v>44826.74145833333</v>
      </c>
      <c r="F25" s="1">
        <v>45373.744583333333</v>
      </c>
      <c r="G25">
        <v>150</v>
      </c>
      <c r="H25">
        <v>150</v>
      </c>
      <c r="I25">
        <v>150</v>
      </c>
      <c r="J25">
        <v>150</v>
      </c>
      <c r="K25">
        <v>628</v>
      </c>
      <c r="L25" t="b">
        <v>1</v>
      </c>
      <c r="M25" t="s">
        <v>57</v>
      </c>
      <c r="N25">
        <v>30</v>
      </c>
      <c r="O25" t="b">
        <v>1</v>
      </c>
      <c r="P25" t="s">
        <v>26</v>
      </c>
      <c r="Q25">
        <v>1</v>
      </c>
      <c r="R25">
        <v>3</v>
      </c>
      <c r="S25">
        <v>3</v>
      </c>
      <c r="T25">
        <v>133</v>
      </c>
    </row>
    <row r="26" spans="1:20">
      <c r="A26" t="s">
        <v>49</v>
      </c>
      <c r="B26" t="s">
        <v>21</v>
      </c>
      <c r="C26">
        <v>1030</v>
      </c>
      <c r="D26">
        <v>20</v>
      </c>
      <c r="E26" s="1">
        <v>44830.73951388889</v>
      </c>
      <c r="F26" s="1">
        <v>45668.549884259257</v>
      </c>
      <c r="G26">
        <v>51.5</v>
      </c>
      <c r="H26">
        <v>51.5</v>
      </c>
      <c r="I26">
        <v>51.5</v>
      </c>
      <c r="J26">
        <v>51.5</v>
      </c>
      <c r="K26">
        <v>334</v>
      </c>
      <c r="L26" t="b">
        <v>1</v>
      </c>
      <c r="M26" t="s">
        <v>58</v>
      </c>
      <c r="N26">
        <v>30</v>
      </c>
      <c r="O26" t="b">
        <v>1</v>
      </c>
      <c r="P26" t="s">
        <v>26</v>
      </c>
      <c r="Q26">
        <v>1</v>
      </c>
      <c r="R26">
        <v>3</v>
      </c>
      <c r="S26">
        <v>2</v>
      </c>
      <c r="T26">
        <v>132</v>
      </c>
    </row>
    <row r="27" spans="1:20">
      <c r="A27" t="s">
        <v>24</v>
      </c>
      <c r="B27" t="s">
        <v>21</v>
      </c>
      <c r="C27">
        <v>2336</v>
      </c>
      <c r="D27">
        <v>41</v>
      </c>
      <c r="E27" s="1">
        <v>44784.738761574074</v>
      </c>
      <c r="F27" s="1">
        <v>45979.800613425927</v>
      </c>
      <c r="G27">
        <v>56.975609756097498</v>
      </c>
      <c r="H27">
        <v>51.5</v>
      </c>
      <c r="I27">
        <v>206</v>
      </c>
      <c r="J27">
        <v>50</v>
      </c>
      <c r="K27">
        <v>22</v>
      </c>
      <c r="L27" t="b">
        <v>1</v>
      </c>
      <c r="M27" t="s">
        <v>59</v>
      </c>
      <c r="N27">
        <v>30</v>
      </c>
      <c r="O27" t="b">
        <v>1</v>
      </c>
      <c r="P27" t="s">
        <v>34</v>
      </c>
      <c r="Q27">
        <v>3</v>
      </c>
      <c r="R27">
        <v>4</v>
      </c>
      <c r="S27">
        <v>3</v>
      </c>
      <c r="T27">
        <v>343</v>
      </c>
    </row>
    <row r="28" spans="1:20">
      <c r="A28" t="s">
        <v>60</v>
      </c>
      <c r="B28" t="s">
        <v>21</v>
      </c>
      <c r="C28">
        <v>2500</v>
      </c>
      <c r="D28">
        <v>1</v>
      </c>
      <c r="E28" s="1">
        <v>44851.375</v>
      </c>
      <c r="F28" s="1">
        <v>44851.375</v>
      </c>
      <c r="G28">
        <v>2500</v>
      </c>
      <c r="H28">
        <v>2500</v>
      </c>
      <c r="I28">
        <v>2500</v>
      </c>
      <c r="J28">
        <v>2500</v>
      </c>
      <c r="K28">
        <v>1151</v>
      </c>
      <c r="L28" t="b">
        <v>0</v>
      </c>
      <c r="M28" t="s">
        <v>61</v>
      </c>
      <c r="O28" t="b">
        <v>0</v>
      </c>
      <c r="P28" t="s">
        <v>36</v>
      </c>
    </row>
    <row r="29" spans="1:20">
      <c r="A29" t="s">
        <v>24</v>
      </c>
      <c r="B29" t="s">
        <v>21</v>
      </c>
      <c r="C29">
        <v>1700</v>
      </c>
      <c r="D29">
        <v>17</v>
      </c>
      <c r="E29" s="1">
        <v>45505.651655092595</v>
      </c>
      <c r="F29" s="1">
        <v>45992.810937499999</v>
      </c>
      <c r="G29">
        <v>100</v>
      </c>
      <c r="H29">
        <v>100</v>
      </c>
      <c r="I29">
        <v>100</v>
      </c>
      <c r="J29">
        <v>100</v>
      </c>
      <c r="K29">
        <v>9</v>
      </c>
      <c r="L29" t="b">
        <v>1</v>
      </c>
      <c r="M29" t="s">
        <v>62</v>
      </c>
      <c r="N29">
        <v>29</v>
      </c>
      <c r="O29" t="b">
        <v>1</v>
      </c>
      <c r="P29" t="s">
        <v>23</v>
      </c>
      <c r="Q29">
        <v>3</v>
      </c>
      <c r="R29">
        <v>2</v>
      </c>
      <c r="S29">
        <v>2</v>
      </c>
      <c r="T29">
        <v>322</v>
      </c>
    </row>
    <row r="30" spans="1:20">
      <c r="A30" t="s">
        <v>24</v>
      </c>
      <c r="B30" t="s">
        <v>21</v>
      </c>
      <c r="C30">
        <v>1648</v>
      </c>
      <c r="D30">
        <v>16</v>
      </c>
      <c r="E30" s="1">
        <v>44824.757951388892</v>
      </c>
      <c r="F30" s="1">
        <v>45280.75199074074</v>
      </c>
      <c r="G30">
        <v>103</v>
      </c>
      <c r="H30">
        <v>103</v>
      </c>
      <c r="I30">
        <v>103</v>
      </c>
      <c r="J30">
        <v>103</v>
      </c>
      <c r="K30">
        <v>721</v>
      </c>
      <c r="L30" t="b">
        <v>1</v>
      </c>
      <c r="M30" t="s">
        <v>63</v>
      </c>
      <c r="N30">
        <v>30</v>
      </c>
      <c r="O30" t="b">
        <v>1</v>
      </c>
      <c r="P30" t="s">
        <v>26</v>
      </c>
      <c r="Q30">
        <v>1</v>
      </c>
      <c r="R30">
        <v>2</v>
      </c>
      <c r="S30">
        <v>2</v>
      </c>
      <c r="T30">
        <v>122</v>
      </c>
    </row>
    <row r="31" spans="1:20">
      <c r="A31" t="s">
        <v>20</v>
      </c>
      <c r="B31" t="s">
        <v>21</v>
      </c>
      <c r="C31">
        <v>2163</v>
      </c>
      <c r="D31">
        <v>14</v>
      </c>
      <c r="E31" s="1">
        <v>45598.592569444445</v>
      </c>
      <c r="F31" s="1">
        <v>45993.801828703705</v>
      </c>
      <c r="G31">
        <v>154.5</v>
      </c>
      <c r="H31">
        <v>154.5</v>
      </c>
      <c r="I31">
        <v>154.5</v>
      </c>
      <c r="J31">
        <v>154.5</v>
      </c>
      <c r="K31">
        <v>8</v>
      </c>
      <c r="L31" t="b">
        <v>1</v>
      </c>
      <c r="M31" t="s">
        <v>64</v>
      </c>
      <c r="N31">
        <v>29</v>
      </c>
      <c r="O31" t="b">
        <v>1</v>
      </c>
      <c r="P31" t="s">
        <v>23</v>
      </c>
      <c r="Q31">
        <v>3</v>
      </c>
      <c r="R31">
        <v>1</v>
      </c>
      <c r="S31">
        <v>3</v>
      </c>
      <c r="T31">
        <v>313</v>
      </c>
    </row>
    <row r="32" spans="1:20">
      <c r="A32" t="s">
        <v>20</v>
      </c>
      <c r="B32" t="s">
        <v>21</v>
      </c>
      <c r="C32">
        <v>144.19999999999999</v>
      </c>
      <c r="D32">
        <v>14</v>
      </c>
      <c r="E32" s="1">
        <v>45601.550717592596</v>
      </c>
      <c r="F32" s="1">
        <v>45996.802337962959</v>
      </c>
      <c r="G32">
        <v>10.3</v>
      </c>
      <c r="H32">
        <v>10.3</v>
      </c>
      <c r="I32">
        <v>10.3</v>
      </c>
      <c r="J32">
        <v>10.3</v>
      </c>
      <c r="K32">
        <v>5</v>
      </c>
      <c r="L32" t="b">
        <v>1</v>
      </c>
      <c r="M32" t="s">
        <v>65</v>
      </c>
      <c r="N32">
        <v>30</v>
      </c>
      <c r="O32" t="b">
        <v>1</v>
      </c>
      <c r="P32" t="s">
        <v>23</v>
      </c>
      <c r="Q32">
        <v>3</v>
      </c>
      <c r="R32">
        <v>1</v>
      </c>
      <c r="S32">
        <v>1</v>
      </c>
      <c r="T32">
        <v>311</v>
      </c>
    </row>
    <row r="33" spans="1:20">
      <c r="A33" t="s">
        <v>40</v>
      </c>
      <c r="B33" t="s">
        <v>21</v>
      </c>
      <c r="C33">
        <v>2600</v>
      </c>
      <c r="D33">
        <v>13</v>
      </c>
      <c r="E33" s="1">
        <v>44865.732997685183</v>
      </c>
      <c r="F33" s="1">
        <v>45230.732719907406</v>
      </c>
      <c r="G33">
        <v>200</v>
      </c>
      <c r="H33">
        <v>200</v>
      </c>
      <c r="I33">
        <v>200</v>
      </c>
      <c r="J33">
        <v>200</v>
      </c>
      <c r="K33">
        <v>771</v>
      </c>
      <c r="L33" t="b">
        <v>1</v>
      </c>
      <c r="M33" t="s">
        <v>66</v>
      </c>
      <c r="N33">
        <v>30</v>
      </c>
      <c r="O33" t="b">
        <v>1</v>
      </c>
      <c r="P33" t="s">
        <v>26</v>
      </c>
      <c r="Q33">
        <v>1</v>
      </c>
      <c r="R33">
        <v>1</v>
      </c>
      <c r="S33">
        <v>3</v>
      </c>
      <c r="T33">
        <v>113</v>
      </c>
    </row>
    <row r="34" spans="1:20">
      <c r="A34" t="s">
        <v>20</v>
      </c>
      <c r="B34" t="s">
        <v>21</v>
      </c>
      <c r="C34">
        <v>2884</v>
      </c>
      <c r="D34">
        <v>14</v>
      </c>
      <c r="E34" s="1">
        <v>45590.603993055556</v>
      </c>
      <c r="F34" s="1">
        <v>45986.800856481481</v>
      </c>
      <c r="G34">
        <v>206</v>
      </c>
      <c r="H34">
        <v>206</v>
      </c>
      <c r="I34">
        <v>206</v>
      </c>
      <c r="J34">
        <v>206</v>
      </c>
      <c r="K34">
        <v>15</v>
      </c>
      <c r="L34" t="b">
        <v>1</v>
      </c>
      <c r="M34" t="s">
        <v>67</v>
      </c>
      <c r="N34">
        <v>30</v>
      </c>
      <c r="O34" t="b">
        <v>1</v>
      </c>
      <c r="P34" t="s">
        <v>23</v>
      </c>
      <c r="Q34">
        <v>3</v>
      </c>
      <c r="R34">
        <v>1</v>
      </c>
      <c r="S34">
        <v>3</v>
      </c>
      <c r="T34">
        <v>313</v>
      </c>
    </row>
    <row r="35" spans="1:20">
      <c r="A35" t="s">
        <v>24</v>
      </c>
      <c r="B35" t="s">
        <v>21</v>
      </c>
      <c r="C35">
        <v>721</v>
      </c>
      <c r="D35">
        <v>14</v>
      </c>
      <c r="E35" s="1">
        <v>45483.600983796299</v>
      </c>
      <c r="F35" s="1">
        <v>45879.804039351853</v>
      </c>
      <c r="G35">
        <v>51.5</v>
      </c>
      <c r="H35">
        <v>51.5</v>
      </c>
      <c r="I35">
        <v>51.5</v>
      </c>
      <c r="J35">
        <v>51.5</v>
      </c>
      <c r="K35">
        <v>122</v>
      </c>
      <c r="L35" t="b">
        <v>1</v>
      </c>
      <c r="M35" t="s">
        <v>68</v>
      </c>
      <c r="N35">
        <v>31</v>
      </c>
      <c r="O35" t="b">
        <v>1</v>
      </c>
      <c r="P35" t="s">
        <v>26</v>
      </c>
      <c r="Q35">
        <v>1</v>
      </c>
      <c r="R35">
        <v>1</v>
      </c>
      <c r="S35">
        <v>1</v>
      </c>
      <c r="T35">
        <v>111</v>
      </c>
    </row>
    <row r="36" spans="1:20">
      <c r="A36" t="s">
        <v>69</v>
      </c>
      <c r="B36" t="s">
        <v>21</v>
      </c>
      <c r="C36">
        <v>4500</v>
      </c>
      <c r="D36">
        <v>33</v>
      </c>
      <c r="E36" s="1">
        <v>44835.898020833331</v>
      </c>
      <c r="F36" s="1">
        <v>45809.597858796296</v>
      </c>
      <c r="G36">
        <v>136.363636363636</v>
      </c>
      <c r="H36">
        <v>100</v>
      </c>
      <c r="I36">
        <v>200</v>
      </c>
      <c r="J36">
        <v>100</v>
      </c>
      <c r="K36">
        <v>193</v>
      </c>
      <c r="L36" t="b">
        <v>1</v>
      </c>
      <c r="M36" t="s">
        <v>70</v>
      </c>
      <c r="N36">
        <v>31</v>
      </c>
      <c r="O36" t="b">
        <v>1</v>
      </c>
      <c r="P36" t="s">
        <v>26</v>
      </c>
      <c r="Q36">
        <v>1</v>
      </c>
      <c r="R36">
        <v>3</v>
      </c>
      <c r="S36">
        <v>4</v>
      </c>
      <c r="T36">
        <v>134</v>
      </c>
    </row>
    <row r="37" spans="1:20">
      <c r="A37" t="s">
        <v>24</v>
      </c>
      <c r="B37" t="s">
        <v>21</v>
      </c>
      <c r="C37">
        <v>500</v>
      </c>
      <c r="D37">
        <v>1</v>
      </c>
      <c r="E37" s="1">
        <v>44855.968287037038</v>
      </c>
      <c r="F37" s="1">
        <v>44855.968287037038</v>
      </c>
      <c r="G37">
        <v>500</v>
      </c>
      <c r="H37">
        <v>500</v>
      </c>
      <c r="I37">
        <v>500</v>
      </c>
      <c r="J37">
        <v>500</v>
      </c>
      <c r="K37">
        <v>1146</v>
      </c>
      <c r="L37" t="b">
        <v>0</v>
      </c>
      <c r="M37" t="s">
        <v>71</v>
      </c>
      <c r="O37" t="b">
        <v>0</v>
      </c>
      <c r="P37" t="s">
        <v>36</v>
      </c>
    </row>
    <row r="38" spans="1:20">
      <c r="A38" t="s">
        <v>72</v>
      </c>
      <c r="B38" t="s">
        <v>21</v>
      </c>
      <c r="C38">
        <v>1650</v>
      </c>
      <c r="D38">
        <v>33</v>
      </c>
      <c r="E38" s="1">
        <v>44819.8278587963</v>
      </c>
      <c r="F38" s="1">
        <v>45267.745196759257</v>
      </c>
      <c r="G38">
        <v>50</v>
      </c>
      <c r="H38">
        <v>50</v>
      </c>
      <c r="I38">
        <v>50</v>
      </c>
      <c r="J38">
        <v>50</v>
      </c>
      <c r="K38">
        <v>734</v>
      </c>
      <c r="L38" t="b">
        <v>1</v>
      </c>
      <c r="M38" t="s">
        <v>73</v>
      </c>
      <c r="N38">
        <v>14</v>
      </c>
      <c r="O38" t="b">
        <v>1</v>
      </c>
      <c r="P38" t="s">
        <v>26</v>
      </c>
      <c r="Q38">
        <v>1</v>
      </c>
      <c r="R38">
        <v>3</v>
      </c>
      <c r="S38">
        <v>2</v>
      </c>
      <c r="T38">
        <v>132</v>
      </c>
    </row>
    <row r="39" spans="1:20">
      <c r="A39" t="s">
        <v>20</v>
      </c>
      <c r="B39" t="s">
        <v>21</v>
      </c>
      <c r="C39">
        <v>185.4</v>
      </c>
      <c r="D39">
        <v>3</v>
      </c>
      <c r="E39" s="1">
        <v>45597.645358796297</v>
      </c>
      <c r="F39" s="1">
        <v>45658.557395833333</v>
      </c>
      <c r="G39">
        <v>61.799999999999898</v>
      </c>
      <c r="H39">
        <v>61.8</v>
      </c>
      <c r="I39">
        <v>61.8</v>
      </c>
      <c r="J39">
        <v>61.8</v>
      </c>
      <c r="K39">
        <v>344</v>
      </c>
      <c r="L39" t="b">
        <v>1</v>
      </c>
      <c r="M39" t="s">
        <v>74</v>
      </c>
      <c r="N39">
        <v>29.5</v>
      </c>
      <c r="O39" t="b">
        <v>1</v>
      </c>
      <c r="P39" t="s">
        <v>26</v>
      </c>
      <c r="Q39">
        <v>1</v>
      </c>
      <c r="R39">
        <v>1</v>
      </c>
      <c r="S39">
        <v>1</v>
      </c>
      <c r="T39">
        <v>111</v>
      </c>
    </row>
    <row r="40" spans="1:20">
      <c r="A40" t="s">
        <v>24</v>
      </c>
      <c r="B40" t="s">
        <v>21</v>
      </c>
      <c r="C40">
        <v>2700</v>
      </c>
      <c r="D40">
        <v>27</v>
      </c>
      <c r="E40" s="1">
        <v>44844.757557870369</v>
      </c>
      <c r="F40" s="1">
        <v>45606.552129629628</v>
      </c>
      <c r="G40">
        <v>100</v>
      </c>
      <c r="H40">
        <v>100</v>
      </c>
      <c r="I40">
        <v>100</v>
      </c>
      <c r="J40">
        <v>100</v>
      </c>
      <c r="K40">
        <v>396</v>
      </c>
      <c r="L40" t="b">
        <v>1</v>
      </c>
      <c r="M40" t="s">
        <v>75</v>
      </c>
      <c r="N40">
        <v>30</v>
      </c>
      <c r="O40" t="b">
        <v>1</v>
      </c>
      <c r="P40" t="s">
        <v>26</v>
      </c>
      <c r="Q40">
        <v>1</v>
      </c>
      <c r="R40">
        <v>3</v>
      </c>
      <c r="S40">
        <v>3</v>
      </c>
      <c r="T40">
        <v>133</v>
      </c>
    </row>
    <row r="41" spans="1:20">
      <c r="A41" t="s">
        <v>24</v>
      </c>
      <c r="B41" t="s">
        <v>21</v>
      </c>
      <c r="C41">
        <v>2500</v>
      </c>
      <c r="D41">
        <v>24</v>
      </c>
      <c r="E41" s="1">
        <v>44694.234027777777</v>
      </c>
      <c r="F41" s="1">
        <v>45503.59888888889</v>
      </c>
      <c r="G41">
        <v>104.166666666666</v>
      </c>
      <c r="H41">
        <v>100</v>
      </c>
      <c r="I41">
        <v>200</v>
      </c>
      <c r="J41">
        <v>100</v>
      </c>
      <c r="K41">
        <v>499</v>
      </c>
      <c r="L41" t="b">
        <v>1</v>
      </c>
      <c r="M41" t="s">
        <v>76</v>
      </c>
      <c r="N41">
        <v>29</v>
      </c>
      <c r="O41" t="b">
        <v>1</v>
      </c>
      <c r="P41" t="s">
        <v>26</v>
      </c>
      <c r="Q41">
        <v>1</v>
      </c>
      <c r="R41">
        <v>3</v>
      </c>
      <c r="S41">
        <v>3</v>
      </c>
      <c r="T41">
        <v>133</v>
      </c>
    </row>
    <row r="42" spans="1:20">
      <c r="A42" t="s">
        <v>24</v>
      </c>
      <c r="B42" t="s">
        <v>21</v>
      </c>
      <c r="C42">
        <v>9421.5</v>
      </c>
      <c r="D42">
        <v>46</v>
      </c>
      <c r="E42" s="1">
        <v>44636.898611111108</v>
      </c>
      <c r="F42" s="1">
        <v>45815.80678240741</v>
      </c>
      <c r="G42">
        <v>204.815217391304</v>
      </c>
      <c r="H42">
        <v>257.5</v>
      </c>
      <c r="I42">
        <v>257.5</v>
      </c>
      <c r="J42">
        <v>51.5</v>
      </c>
      <c r="K42">
        <v>186</v>
      </c>
      <c r="L42" t="b">
        <v>1</v>
      </c>
      <c r="M42" t="s">
        <v>77</v>
      </c>
      <c r="N42">
        <v>31</v>
      </c>
      <c r="O42" t="b">
        <v>1</v>
      </c>
      <c r="P42" t="s">
        <v>26</v>
      </c>
      <c r="Q42">
        <v>1</v>
      </c>
      <c r="R42">
        <v>4</v>
      </c>
      <c r="S42">
        <v>4</v>
      </c>
      <c r="T42">
        <v>144</v>
      </c>
    </row>
    <row r="43" spans="1:20">
      <c r="A43" t="s">
        <v>24</v>
      </c>
      <c r="B43" t="s">
        <v>21</v>
      </c>
      <c r="C43">
        <v>2100</v>
      </c>
      <c r="D43">
        <v>21</v>
      </c>
      <c r="E43" s="1">
        <v>45364.737384259257</v>
      </c>
      <c r="F43" s="1">
        <v>45974.800243055557</v>
      </c>
      <c r="G43">
        <v>100</v>
      </c>
      <c r="H43">
        <v>100</v>
      </c>
      <c r="I43">
        <v>100</v>
      </c>
      <c r="J43">
        <v>100</v>
      </c>
      <c r="K43">
        <v>27</v>
      </c>
      <c r="L43" t="b">
        <v>1</v>
      </c>
      <c r="M43" t="s">
        <v>78</v>
      </c>
      <c r="N43">
        <v>30</v>
      </c>
      <c r="O43" t="b">
        <v>1</v>
      </c>
      <c r="P43" t="s">
        <v>34</v>
      </c>
      <c r="Q43">
        <v>3</v>
      </c>
      <c r="R43">
        <v>3</v>
      </c>
      <c r="S43">
        <v>3</v>
      </c>
      <c r="T43">
        <v>333</v>
      </c>
    </row>
    <row r="44" spans="1:20">
      <c r="A44" t="s">
        <v>69</v>
      </c>
      <c r="B44" t="s">
        <v>21</v>
      </c>
      <c r="C44">
        <v>4700</v>
      </c>
      <c r="D44">
        <v>39</v>
      </c>
      <c r="E44" s="1">
        <v>44682.892835648148</v>
      </c>
      <c r="F44" s="1">
        <v>45992.809027777781</v>
      </c>
      <c r="G44">
        <v>120.51282051282</v>
      </c>
      <c r="H44">
        <v>100</v>
      </c>
      <c r="I44">
        <v>300</v>
      </c>
      <c r="J44">
        <v>100</v>
      </c>
      <c r="K44">
        <v>9</v>
      </c>
      <c r="L44" t="b">
        <v>1</v>
      </c>
      <c r="M44" t="s">
        <v>79</v>
      </c>
      <c r="N44">
        <v>29</v>
      </c>
      <c r="O44" t="b">
        <v>1</v>
      </c>
      <c r="P44" t="s">
        <v>28</v>
      </c>
      <c r="Q44">
        <v>3</v>
      </c>
      <c r="R44">
        <v>4</v>
      </c>
      <c r="S44">
        <v>4</v>
      </c>
      <c r="T44">
        <v>344</v>
      </c>
    </row>
    <row r="45" spans="1:20">
      <c r="A45" t="s">
        <v>20</v>
      </c>
      <c r="B45" t="s">
        <v>21</v>
      </c>
      <c r="C45">
        <v>700</v>
      </c>
      <c r="D45">
        <v>14</v>
      </c>
      <c r="E45" s="1">
        <v>45594.597824074073</v>
      </c>
      <c r="F45" s="1">
        <v>45990.800347222219</v>
      </c>
      <c r="G45">
        <v>50</v>
      </c>
      <c r="H45">
        <v>50</v>
      </c>
      <c r="I45">
        <v>50</v>
      </c>
      <c r="J45">
        <v>50</v>
      </c>
      <c r="K45">
        <v>11</v>
      </c>
      <c r="L45" t="b">
        <v>1</v>
      </c>
      <c r="M45" t="s">
        <v>80</v>
      </c>
      <c r="N45">
        <v>30</v>
      </c>
      <c r="O45" t="b">
        <v>1</v>
      </c>
      <c r="P45" t="s">
        <v>23</v>
      </c>
      <c r="Q45">
        <v>3</v>
      </c>
      <c r="R45">
        <v>1</v>
      </c>
      <c r="S45">
        <v>1</v>
      </c>
      <c r="T45">
        <v>311</v>
      </c>
    </row>
    <row r="46" spans="1:20">
      <c r="A46" t="s">
        <v>24</v>
      </c>
      <c r="B46" t="s">
        <v>21</v>
      </c>
      <c r="C46">
        <v>2727</v>
      </c>
      <c r="D46">
        <v>27</v>
      </c>
      <c r="E46" s="1">
        <v>44849.845914351848</v>
      </c>
      <c r="F46" s="1">
        <v>45989.802210648151</v>
      </c>
      <c r="G46">
        <v>101</v>
      </c>
      <c r="H46">
        <v>100</v>
      </c>
      <c r="I46">
        <v>103</v>
      </c>
      <c r="J46">
        <v>100</v>
      </c>
      <c r="K46">
        <v>12</v>
      </c>
      <c r="L46" t="b">
        <v>1</v>
      </c>
      <c r="M46" t="s">
        <v>81</v>
      </c>
      <c r="N46">
        <v>31</v>
      </c>
      <c r="O46" t="b">
        <v>1</v>
      </c>
      <c r="P46" t="s">
        <v>34</v>
      </c>
      <c r="Q46">
        <v>3</v>
      </c>
      <c r="R46">
        <v>3</v>
      </c>
      <c r="S46">
        <v>3</v>
      </c>
      <c r="T46">
        <v>333</v>
      </c>
    </row>
    <row r="47" spans="1:20">
      <c r="A47" t="s">
        <v>24</v>
      </c>
      <c r="B47" t="s">
        <v>21</v>
      </c>
      <c r="C47">
        <v>14234.25</v>
      </c>
      <c r="D47">
        <v>48</v>
      </c>
      <c r="E47" s="1">
        <v>44790.862939814811</v>
      </c>
      <c r="F47" s="1">
        <v>45989.801851851851</v>
      </c>
      <c r="G47">
        <v>296.546875</v>
      </c>
      <c r="H47">
        <v>214.97</v>
      </c>
      <c r="I47">
        <v>4000</v>
      </c>
      <c r="J47">
        <v>74</v>
      </c>
      <c r="K47">
        <v>12</v>
      </c>
      <c r="L47" t="b">
        <v>1</v>
      </c>
      <c r="M47" t="s">
        <v>82</v>
      </c>
      <c r="N47">
        <v>31</v>
      </c>
      <c r="O47" t="b">
        <v>1</v>
      </c>
      <c r="P47" t="s">
        <v>28</v>
      </c>
      <c r="Q47">
        <v>3</v>
      </c>
      <c r="R47">
        <v>4</v>
      </c>
      <c r="S47">
        <v>4</v>
      </c>
      <c r="T47">
        <v>344</v>
      </c>
    </row>
    <row r="48" spans="1:20">
      <c r="A48" t="s">
        <v>24</v>
      </c>
      <c r="B48" t="s">
        <v>21</v>
      </c>
      <c r="C48">
        <v>10000</v>
      </c>
      <c r="D48">
        <v>1</v>
      </c>
      <c r="E48" s="1">
        <v>45572.616157407407</v>
      </c>
      <c r="F48" s="1">
        <v>45572.616157407407</v>
      </c>
      <c r="G48">
        <v>10000</v>
      </c>
      <c r="H48">
        <v>10000</v>
      </c>
      <c r="I48">
        <v>10000</v>
      </c>
      <c r="J48">
        <v>10000</v>
      </c>
      <c r="K48">
        <v>429</v>
      </c>
      <c r="L48" t="b">
        <v>0</v>
      </c>
      <c r="M48" t="s">
        <v>83</v>
      </c>
      <c r="O48" t="b">
        <v>0</v>
      </c>
      <c r="P48" t="s">
        <v>36</v>
      </c>
    </row>
    <row r="49" spans="1:20">
      <c r="A49" t="s">
        <v>49</v>
      </c>
      <c r="B49" t="s">
        <v>21</v>
      </c>
      <c r="C49">
        <v>231</v>
      </c>
      <c r="D49">
        <v>3</v>
      </c>
      <c r="E49" s="1">
        <v>45302.734189814815</v>
      </c>
      <c r="F49" s="1">
        <v>45384.175173611111</v>
      </c>
      <c r="G49">
        <v>77</v>
      </c>
      <c r="H49">
        <v>51.5</v>
      </c>
      <c r="I49">
        <v>154.5</v>
      </c>
      <c r="J49">
        <v>25</v>
      </c>
      <c r="K49">
        <v>618</v>
      </c>
      <c r="L49" t="b">
        <v>1</v>
      </c>
      <c r="M49" t="s">
        <v>84</v>
      </c>
      <c r="N49">
        <v>40.5</v>
      </c>
      <c r="O49" t="b">
        <v>0</v>
      </c>
      <c r="P49" t="s">
        <v>52</v>
      </c>
    </row>
    <row r="50" spans="1:20">
      <c r="A50" t="s">
        <v>24</v>
      </c>
      <c r="B50" t="s">
        <v>21</v>
      </c>
      <c r="C50">
        <v>1200</v>
      </c>
      <c r="D50">
        <v>1</v>
      </c>
      <c r="E50" s="1">
        <v>44824.043368055558</v>
      </c>
      <c r="F50" s="1">
        <v>44824.043368055558</v>
      </c>
      <c r="G50">
        <v>1200</v>
      </c>
      <c r="H50">
        <v>1200</v>
      </c>
      <c r="I50">
        <v>1200</v>
      </c>
      <c r="J50">
        <v>1200</v>
      </c>
      <c r="K50">
        <v>1178</v>
      </c>
      <c r="L50" t="b">
        <v>0</v>
      </c>
      <c r="M50" t="s">
        <v>85</v>
      </c>
      <c r="O50" t="b">
        <v>0</v>
      </c>
      <c r="P50" t="s">
        <v>36</v>
      </c>
    </row>
    <row r="51" spans="1:20">
      <c r="A51" t="s">
        <v>24</v>
      </c>
      <c r="B51" t="s">
        <v>21</v>
      </c>
      <c r="C51">
        <v>515</v>
      </c>
      <c r="D51">
        <v>1</v>
      </c>
      <c r="E51" s="1">
        <v>44817.263136574074</v>
      </c>
      <c r="F51" s="1">
        <v>44817.263136574074</v>
      </c>
      <c r="G51">
        <v>515</v>
      </c>
      <c r="H51">
        <v>515</v>
      </c>
      <c r="I51">
        <v>515</v>
      </c>
      <c r="J51">
        <v>515</v>
      </c>
      <c r="K51">
        <v>1185</v>
      </c>
      <c r="L51" t="b">
        <v>0</v>
      </c>
      <c r="M51" t="s">
        <v>86</v>
      </c>
      <c r="O51" t="b">
        <v>0</v>
      </c>
      <c r="P51" t="s">
        <v>36</v>
      </c>
    </row>
    <row r="52" spans="1:20">
      <c r="A52" t="s">
        <v>24</v>
      </c>
      <c r="B52" t="s">
        <v>21</v>
      </c>
      <c r="C52">
        <v>1003</v>
      </c>
      <c r="D52">
        <v>19</v>
      </c>
      <c r="E52" s="1">
        <v>44670.977083333331</v>
      </c>
      <c r="F52" s="1">
        <v>45981.801111111112</v>
      </c>
      <c r="G52">
        <v>52.789473684210499</v>
      </c>
      <c r="H52">
        <v>50</v>
      </c>
      <c r="I52">
        <v>103</v>
      </c>
      <c r="J52">
        <v>50</v>
      </c>
      <c r="K52">
        <v>20</v>
      </c>
      <c r="L52" t="b">
        <v>1</v>
      </c>
      <c r="M52" t="s">
        <v>87</v>
      </c>
      <c r="N52">
        <v>30</v>
      </c>
      <c r="O52" t="b">
        <v>1</v>
      </c>
      <c r="P52" t="s">
        <v>34</v>
      </c>
      <c r="Q52">
        <v>3</v>
      </c>
      <c r="R52">
        <v>3</v>
      </c>
      <c r="S52">
        <v>2</v>
      </c>
      <c r="T52">
        <v>332</v>
      </c>
    </row>
    <row r="53" spans="1:20">
      <c r="A53" t="s">
        <v>24</v>
      </c>
      <c r="B53" t="s">
        <v>21</v>
      </c>
      <c r="C53">
        <v>25.75</v>
      </c>
      <c r="D53">
        <v>1</v>
      </c>
      <c r="E53" s="1">
        <v>44846.253229166665</v>
      </c>
      <c r="F53" s="1">
        <v>44846.253229166665</v>
      </c>
      <c r="G53">
        <v>25.75</v>
      </c>
      <c r="H53">
        <v>25.75</v>
      </c>
      <c r="I53">
        <v>25.75</v>
      </c>
      <c r="J53">
        <v>25.75</v>
      </c>
      <c r="K53">
        <v>1156</v>
      </c>
      <c r="L53" t="b">
        <v>0</v>
      </c>
      <c r="M53" t="s">
        <v>88</v>
      </c>
      <c r="O53" t="b">
        <v>0</v>
      </c>
      <c r="P53" t="s">
        <v>36</v>
      </c>
    </row>
    <row r="54" spans="1:20">
      <c r="A54" t="s">
        <v>24</v>
      </c>
      <c r="B54" t="s">
        <v>21</v>
      </c>
      <c r="C54">
        <v>9167</v>
      </c>
      <c r="D54">
        <v>40</v>
      </c>
      <c r="E54" s="1">
        <v>44807.747847222221</v>
      </c>
      <c r="F54" s="1">
        <v>45992.809398148151</v>
      </c>
      <c r="G54">
        <v>229.17500000000001</v>
      </c>
      <c r="H54">
        <v>103</v>
      </c>
      <c r="I54">
        <v>5150</v>
      </c>
      <c r="J54">
        <v>103</v>
      </c>
      <c r="K54">
        <v>9</v>
      </c>
      <c r="L54" t="b">
        <v>1</v>
      </c>
      <c r="M54" t="s">
        <v>89</v>
      </c>
      <c r="N54">
        <v>29</v>
      </c>
      <c r="O54" t="b">
        <v>1</v>
      </c>
      <c r="P54" t="s">
        <v>28</v>
      </c>
      <c r="Q54">
        <v>3</v>
      </c>
      <c r="R54">
        <v>4</v>
      </c>
      <c r="S54">
        <v>4</v>
      </c>
      <c r="T54">
        <v>344</v>
      </c>
    </row>
    <row r="55" spans="1:20">
      <c r="A55" t="s">
        <v>90</v>
      </c>
      <c r="B55" t="s">
        <v>21</v>
      </c>
      <c r="C55">
        <v>144.19999999999999</v>
      </c>
      <c r="D55">
        <v>14</v>
      </c>
      <c r="E55" s="1">
        <v>45601.550532407404</v>
      </c>
      <c r="F55" s="1">
        <v>45996.802025462966</v>
      </c>
      <c r="G55">
        <v>10.3</v>
      </c>
      <c r="H55">
        <v>10.3</v>
      </c>
      <c r="I55">
        <v>10.3</v>
      </c>
      <c r="J55">
        <v>10.3</v>
      </c>
      <c r="K55">
        <v>5</v>
      </c>
      <c r="L55" t="b">
        <v>1</v>
      </c>
      <c r="M55" t="s">
        <v>91</v>
      </c>
      <c r="N55">
        <v>30</v>
      </c>
      <c r="O55" t="b">
        <v>1</v>
      </c>
      <c r="P55" t="s">
        <v>23</v>
      </c>
      <c r="Q55">
        <v>3</v>
      </c>
      <c r="R55">
        <v>1</v>
      </c>
      <c r="S55">
        <v>1</v>
      </c>
      <c r="T55">
        <v>311</v>
      </c>
    </row>
    <row r="56" spans="1:20">
      <c r="A56" t="s">
        <v>24</v>
      </c>
      <c r="B56" t="s">
        <v>21</v>
      </c>
      <c r="C56">
        <v>862</v>
      </c>
      <c r="D56">
        <v>34</v>
      </c>
      <c r="E56" s="1">
        <v>44816.738668981481</v>
      </c>
      <c r="F56" s="1">
        <v>45981.801041666666</v>
      </c>
      <c r="G56">
        <v>25.352941176470502</v>
      </c>
      <c r="H56">
        <v>25</v>
      </c>
      <c r="I56">
        <v>25.75</v>
      </c>
      <c r="J56">
        <v>25</v>
      </c>
      <c r="K56">
        <v>20</v>
      </c>
      <c r="L56" t="b">
        <v>1</v>
      </c>
      <c r="M56" t="s">
        <v>92</v>
      </c>
      <c r="N56">
        <v>30</v>
      </c>
      <c r="O56" t="b">
        <v>1</v>
      </c>
      <c r="P56" t="s">
        <v>34</v>
      </c>
      <c r="Q56">
        <v>3</v>
      </c>
      <c r="R56">
        <v>3</v>
      </c>
      <c r="S56">
        <v>1</v>
      </c>
      <c r="T56">
        <v>331</v>
      </c>
    </row>
    <row r="57" spans="1:20">
      <c r="A57" t="s">
        <v>24</v>
      </c>
      <c r="B57" t="s">
        <v>21</v>
      </c>
      <c r="C57">
        <v>150</v>
      </c>
      <c r="D57">
        <v>3</v>
      </c>
      <c r="E57" s="1">
        <v>45921.80976851852</v>
      </c>
      <c r="F57" s="1">
        <v>45982.805462962962</v>
      </c>
      <c r="G57">
        <v>50</v>
      </c>
      <c r="H57">
        <v>50</v>
      </c>
      <c r="I57">
        <v>50</v>
      </c>
      <c r="J57">
        <v>50</v>
      </c>
      <c r="K57">
        <v>19</v>
      </c>
      <c r="L57" t="b">
        <v>1</v>
      </c>
      <c r="M57" t="s">
        <v>93</v>
      </c>
      <c r="N57">
        <v>30</v>
      </c>
      <c r="O57" t="b">
        <v>1</v>
      </c>
      <c r="P57" t="s">
        <v>23</v>
      </c>
      <c r="Q57">
        <v>3</v>
      </c>
      <c r="R57">
        <v>1</v>
      </c>
      <c r="S57">
        <v>1</v>
      </c>
      <c r="T57">
        <v>311</v>
      </c>
    </row>
    <row r="58" spans="1:20">
      <c r="A58" t="s">
        <v>94</v>
      </c>
      <c r="B58" t="s">
        <v>21</v>
      </c>
      <c r="C58">
        <v>3672</v>
      </c>
      <c r="D58">
        <v>42</v>
      </c>
      <c r="E58" s="1">
        <v>44781.740115740744</v>
      </c>
      <c r="F58" s="1">
        <v>45999.801689814813</v>
      </c>
      <c r="G58">
        <v>87.428571428571402</v>
      </c>
      <c r="H58">
        <v>77.25</v>
      </c>
      <c r="I58">
        <v>300</v>
      </c>
      <c r="J58">
        <v>77.25</v>
      </c>
      <c r="K58">
        <v>2</v>
      </c>
      <c r="L58" t="b">
        <v>1</v>
      </c>
      <c r="M58" t="s">
        <v>95</v>
      </c>
      <c r="N58">
        <v>30</v>
      </c>
      <c r="O58" t="b">
        <v>1</v>
      </c>
      <c r="P58" t="s">
        <v>28</v>
      </c>
      <c r="Q58">
        <v>3</v>
      </c>
      <c r="R58">
        <v>4</v>
      </c>
      <c r="S58">
        <v>4</v>
      </c>
      <c r="T58">
        <v>344</v>
      </c>
    </row>
    <row r="59" spans="1:20">
      <c r="A59" t="s">
        <v>20</v>
      </c>
      <c r="B59" t="s">
        <v>21</v>
      </c>
      <c r="C59">
        <v>1100</v>
      </c>
      <c r="D59">
        <v>11</v>
      </c>
      <c r="E59" s="1">
        <v>45597.645219907405</v>
      </c>
      <c r="F59" s="1">
        <v>45901.812210648146</v>
      </c>
      <c r="G59">
        <v>100</v>
      </c>
      <c r="H59">
        <v>100</v>
      </c>
      <c r="I59">
        <v>100</v>
      </c>
      <c r="J59">
        <v>100</v>
      </c>
      <c r="K59">
        <v>100</v>
      </c>
      <c r="L59" t="b">
        <v>1</v>
      </c>
      <c r="M59" t="s">
        <v>96</v>
      </c>
      <c r="N59">
        <v>30</v>
      </c>
      <c r="O59" t="b">
        <v>1</v>
      </c>
      <c r="P59" t="s">
        <v>97</v>
      </c>
      <c r="Q59">
        <v>2</v>
      </c>
      <c r="R59">
        <v>1</v>
      </c>
      <c r="S59">
        <v>2</v>
      </c>
      <c r="T59">
        <v>212</v>
      </c>
    </row>
    <row r="60" spans="1:20">
      <c r="A60" t="s">
        <v>46</v>
      </c>
      <c r="B60" t="s">
        <v>21</v>
      </c>
      <c r="C60">
        <v>1500</v>
      </c>
      <c r="D60">
        <v>30</v>
      </c>
      <c r="E60" s="1">
        <v>45109.740648148145</v>
      </c>
      <c r="F60" s="1">
        <v>45993.801550925928</v>
      </c>
      <c r="G60">
        <v>50</v>
      </c>
      <c r="H60">
        <v>50</v>
      </c>
      <c r="I60">
        <v>50</v>
      </c>
      <c r="J60">
        <v>50</v>
      </c>
      <c r="K60">
        <v>8</v>
      </c>
      <c r="L60" t="b">
        <v>1</v>
      </c>
      <c r="M60" t="s">
        <v>98</v>
      </c>
      <c r="N60">
        <v>29</v>
      </c>
      <c r="O60" t="b">
        <v>1</v>
      </c>
      <c r="P60" t="s">
        <v>34</v>
      </c>
      <c r="Q60">
        <v>3</v>
      </c>
      <c r="R60">
        <v>3</v>
      </c>
      <c r="S60">
        <v>2</v>
      </c>
      <c r="T60">
        <v>332</v>
      </c>
    </row>
    <row r="61" spans="1:20">
      <c r="A61" t="s">
        <v>20</v>
      </c>
      <c r="B61" t="s">
        <v>21</v>
      </c>
      <c r="C61">
        <v>4500</v>
      </c>
      <c r="D61">
        <v>23</v>
      </c>
      <c r="E61" s="1">
        <v>44921.734710648147</v>
      </c>
      <c r="F61" s="1">
        <v>45997.800844907404</v>
      </c>
      <c r="G61">
        <v>195.65217391304299</v>
      </c>
      <c r="H61">
        <v>100</v>
      </c>
      <c r="I61">
        <v>1000</v>
      </c>
      <c r="J61">
        <v>100</v>
      </c>
      <c r="K61">
        <v>4</v>
      </c>
      <c r="L61" t="b">
        <v>1</v>
      </c>
      <c r="M61" t="s">
        <v>99</v>
      </c>
      <c r="N61">
        <v>30</v>
      </c>
      <c r="O61" t="b">
        <v>1</v>
      </c>
      <c r="P61" t="s">
        <v>23</v>
      </c>
      <c r="Q61">
        <v>3</v>
      </c>
      <c r="R61">
        <v>3</v>
      </c>
      <c r="S61">
        <v>4</v>
      </c>
      <c r="T61">
        <v>334</v>
      </c>
    </row>
    <row r="62" spans="1:20">
      <c r="A62" t="s">
        <v>40</v>
      </c>
      <c r="B62" t="s">
        <v>21</v>
      </c>
      <c r="C62">
        <v>900</v>
      </c>
      <c r="D62">
        <v>12</v>
      </c>
      <c r="E62" s="1">
        <v>45444.664444444446</v>
      </c>
      <c r="F62" s="1">
        <v>45778.597395833334</v>
      </c>
      <c r="G62">
        <v>75</v>
      </c>
      <c r="H62">
        <v>75</v>
      </c>
      <c r="I62">
        <v>75</v>
      </c>
      <c r="J62">
        <v>75</v>
      </c>
      <c r="K62">
        <v>224</v>
      </c>
      <c r="L62" t="b">
        <v>1</v>
      </c>
      <c r="M62" t="s">
        <v>100</v>
      </c>
      <c r="N62">
        <v>29</v>
      </c>
      <c r="O62" t="b">
        <v>1</v>
      </c>
      <c r="P62" t="s">
        <v>26</v>
      </c>
      <c r="Q62">
        <v>1</v>
      </c>
      <c r="R62">
        <v>1</v>
      </c>
      <c r="S62">
        <v>1</v>
      </c>
      <c r="T62">
        <v>111</v>
      </c>
    </row>
    <row r="63" spans="1:20">
      <c r="A63" t="s">
        <v>24</v>
      </c>
      <c r="B63" t="s">
        <v>21</v>
      </c>
      <c r="C63">
        <v>560</v>
      </c>
      <c r="D63">
        <v>14</v>
      </c>
      <c r="E63" s="1">
        <v>44835.898009259261</v>
      </c>
      <c r="F63" s="1">
        <v>45231.858773148146</v>
      </c>
      <c r="G63">
        <v>40</v>
      </c>
      <c r="H63">
        <v>40</v>
      </c>
      <c r="I63">
        <v>40</v>
      </c>
      <c r="J63">
        <v>40</v>
      </c>
      <c r="K63">
        <v>770</v>
      </c>
      <c r="L63" t="b">
        <v>1</v>
      </c>
      <c r="M63" t="s">
        <v>101</v>
      </c>
      <c r="N63">
        <v>30</v>
      </c>
      <c r="O63" t="b">
        <v>1</v>
      </c>
      <c r="P63" t="s">
        <v>26</v>
      </c>
      <c r="Q63">
        <v>1</v>
      </c>
      <c r="R63">
        <v>1</v>
      </c>
      <c r="S63">
        <v>1</v>
      </c>
      <c r="T63">
        <v>111</v>
      </c>
    </row>
    <row r="64" spans="1:20">
      <c r="A64" t="s">
        <v>20</v>
      </c>
      <c r="B64" t="s">
        <v>21</v>
      </c>
      <c r="C64">
        <v>8500</v>
      </c>
      <c r="D64">
        <v>17</v>
      </c>
      <c r="E64" s="1">
        <v>45516.375</v>
      </c>
      <c r="F64" s="1">
        <v>45999.375</v>
      </c>
      <c r="G64">
        <v>500</v>
      </c>
      <c r="H64">
        <v>500</v>
      </c>
      <c r="I64">
        <v>500</v>
      </c>
      <c r="J64">
        <v>500</v>
      </c>
      <c r="K64">
        <v>3</v>
      </c>
      <c r="L64" t="b">
        <v>1</v>
      </c>
      <c r="M64" t="s">
        <v>102</v>
      </c>
      <c r="N64">
        <v>29</v>
      </c>
      <c r="O64" t="b">
        <v>1</v>
      </c>
      <c r="P64" t="s">
        <v>103</v>
      </c>
      <c r="Q64">
        <v>3</v>
      </c>
      <c r="R64">
        <v>2</v>
      </c>
      <c r="S64">
        <v>4</v>
      </c>
      <c r="T64">
        <v>324</v>
      </c>
    </row>
    <row r="65" spans="1:20">
      <c r="A65" t="s">
        <v>24</v>
      </c>
      <c r="B65" t="s">
        <v>21</v>
      </c>
      <c r="C65">
        <v>103</v>
      </c>
      <c r="D65">
        <v>1</v>
      </c>
      <c r="E65" s="1">
        <v>45471.612812500003</v>
      </c>
      <c r="F65" s="1">
        <v>45471.612812500003</v>
      </c>
      <c r="G65">
        <v>103</v>
      </c>
      <c r="H65">
        <v>103</v>
      </c>
      <c r="I65">
        <v>103</v>
      </c>
      <c r="J65">
        <v>103</v>
      </c>
      <c r="K65">
        <v>530</v>
      </c>
      <c r="L65" t="b">
        <v>0</v>
      </c>
      <c r="M65" t="s">
        <v>104</v>
      </c>
      <c r="O65" t="b">
        <v>0</v>
      </c>
      <c r="P65" t="s">
        <v>36</v>
      </c>
    </row>
    <row r="66" spans="1:20">
      <c r="A66" t="s">
        <v>20</v>
      </c>
      <c r="B66" t="s">
        <v>21</v>
      </c>
      <c r="C66">
        <v>7210</v>
      </c>
      <c r="D66">
        <v>14</v>
      </c>
      <c r="E66" s="1">
        <v>45590.603368055556</v>
      </c>
      <c r="F66" s="1">
        <v>45986.800740740742</v>
      </c>
      <c r="G66">
        <v>515</v>
      </c>
      <c r="H66">
        <v>515</v>
      </c>
      <c r="I66">
        <v>515</v>
      </c>
      <c r="J66">
        <v>515</v>
      </c>
      <c r="K66">
        <v>15</v>
      </c>
      <c r="L66" t="b">
        <v>1</v>
      </c>
      <c r="M66" t="s">
        <v>105</v>
      </c>
      <c r="N66">
        <v>30</v>
      </c>
      <c r="O66" t="b">
        <v>1</v>
      </c>
      <c r="P66" t="s">
        <v>103</v>
      </c>
      <c r="Q66">
        <v>3</v>
      </c>
      <c r="R66">
        <v>1</v>
      </c>
      <c r="S66">
        <v>4</v>
      </c>
      <c r="T66">
        <v>314</v>
      </c>
    </row>
    <row r="67" spans="1:20">
      <c r="A67" t="s">
        <v>20</v>
      </c>
      <c r="B67" t="s">
        <v>21</v>
      </c>
      <c r="C67">
        <v>7725</v>
      </c>
      <c r="D67">
        <v>15</v>
      </c>
      <c r="E67" s="1">
        <v>45572.606458333335</v>
      </c>
      <c r="F67" s="1">
        <v>45998.803402777776</v>
      </c>
      <c r="G67">
        <v>515</v>
      </c>
      <c r="H67">
        <v>515</v>
      </c>
      <c r="I67">
        <v>515</v>
      </c>
      <c r="J67">
        <v>515</v>
      </c>
      <c r="K67">
        <v>3</v>
      </c>
      <c r="L67" t="b">
        <v>1</v>
      </c>
      <c r="M67" t="s">
        <v>106</v>
      </c>
      <c r="N67">
        <v>30</v>
      </c>
      <c r="O67" t="b">
        <v>1</v>
      </c>
      <c r="P67" t="s">
        <v>103</v>
      </c>
      <c r="Q67">
        <v>3</v>
      </c>
      <c r="R67">
        <v>2</v>
      </c>
      <c r="S67">
        <v>4</v>
      </c>
      <c r="T67">
        <v>324</v>
      </c>
    </row>
    <row r="68" spans="1:20">
      <c r="A68" t="s">
        <v>20</v>
      </c>
      <c r="B68" t="s">
        <v>21</v>
      </c>
      <c r="C68">
        <v>721</v>
      </c>
      <c r="D68">
        <v>14</v>
      </c>
      <c r="E68" s="1">
        <v>45580.619571759256</v>
      </c>
      <c r="F68" s="1">
        <v>45976.805891203701</v>
      </c>
      <c r="G68">
        <v>51.5</v>
      </c>
      <c r="H68">
        <v>51.5</v>
      </c>
      <c r="I68">
        <v>51.5</v>
      </c>
      <c r="J68">
        <v>51.5</v>
      </c>
      <c r="K68">
        <v>25</v>
      </c>
      <c r="L68" t="b">
        <v>1</v>
      </c>
      <c r="M68" t="s">
        <v>107</v>
      </c>
      <c r="N68">
        <v>30</v>
      </c>
      <c r="O68" t="b">
        <v>1</v>
      </c>
      <c r="P68" t="s">
        <v>23</v>
      </c>
      <c r="Q68">
        <v>3</v>
      </c>
      <c r="R68">
        <v>1</v>
      </c>
      <c r="S68">
        <v>1</v>
      </c>
      <c r="T68">
        <v>311</v>
      </c>
    </row>
    <row r="69" spans="1:20">
      <c r="A69" t="s">
        <v>20</v>
      </c>
      <c r="B69" t="s">
        <v>21</v>
      </c>
      <c r="C69">
        <v>1424</v>
      </c>
      <c r="D69">
        <v>14</v>
      </c>
      <c r="E69" s="1">
        <v>45591.59815972222</v>
      </c>
      <c r="F69" s="1">
        <v>45988.801527777781</v>
      </c>
      <c r="G69">
        <v>101.714285714285</v>
      </c>
      <c r="H69">
        <v>103</v>
      </c>
      <c r="I69">
        <v>103</v>
      </c>
      <c r="J69">
        <v>100</v>
      </c>
      <c r="K69">
        <v>13</v>
      </c>
      <c r="L69" t="b">
        <v>1</v>
      </c>
      <c r="M69" t="s">
        <v>108</v>
      </c>
      <c r="N69">
        <v>30</v>
      </c>
      <c r="O69" t="b">
        <v>1</v>
      </c>
      <c r="P69" t="s">
        <v>23</v>
      </c>
      <c r="Q69">
        <v>3</v>
      </c>
      <c r="R69">
        <v>1</v>
      </c>
      <c r="S69">
        <v>2</v>
      </c>
      <c r="T69">
        <v>312</v>
      </c>
    </row>
    <row r="70" spans="1:20">
      <c r="A70" t="s">
        <v>43</v>
      </c>
      <c r="B70" t="s">
        <v>21</v>
      </c>
      <c r="C70">
        <v>1500</v>
      </c>
      <c r="D70">
        <v>15</v>
      </c>
      <c r="E70" s="1">
        <v>45575.59851851852</v>
      </c>
      <c r="F70" s="1">
        <v>46001.80091435185</v>
      </c>
      <c r="G70">
        <v>100</v>
      </c>
      <c r="H70">
        <v>100</v>
      </c>
      <c r="I70">
        <v>100</v>
      </c>
      <c r="J70">
        <v>100</v>
      </c>
      <c r="K70">
        <v>0</v>
      </c>
      <c r="L70" t="b">
        <v>1</v>
      </c>
      <c r="M70" t="s">
        <v>109</v>
      </c>
      <c r="N70">
        <v>30</v>
      </c>
      <c r="O70" t="b">
        <v>1</v>
      </c>
      <c r="P70" t="s">
        <v>23</v>
      </c>
      <c r="Q70">
        <v>3</v>
      </c>
      <c r="R70">
        <v>2</v>
      </c>
      <c r="S70">
        <v>2</v>
      </c>
      <c r="T70">
        <v>322</v>
      </c>
    </row>
    <row r="71" spans="1:20">
      <c r="A71" t="s">
        <v>110</v>
      </c>
      <c r="B71" t="s">
        <v>21</v>
      </c>
      <c r="C71">
        <v>51.5</v>
      </c>
      <c r="D71">
        <v>1</v>
      </c>
      <c r="E71" s="1">
        <v>44655.064583333333</v>
      </c>
      <c r="F71" s="1">
        <v>44655.064583333333</v>
      </c>
      <c r="G71">
        <v>51.5</v>
      </c>
      <c r="H71">
        <v>51.5</v>
      </c>
      <c r="I71">
        <v>51.5</v>
      </c>
      <c r="J71">
        <v>51.5</v>
      </c>
      <c r="K71">
        <v>1347</v>
      </c>
      <c r="L71" t="b">
        <v>0</v>
      </c>
      <c r="M71" t="s">
        <v>111</v>
      </c>
      <c r="O71" t="b">
        <v>0</v>
      </c>
      <c r="P71" t="s">
        <v>36</v>
      </c>
    </row>
    <row r="72" spans="1:20">
      <c r="A72" t="s">
        <v>40</v>
      </c>
      <c r="B72" t="s">
        <v>21</v>
      </c>
      <c r="C72">
        <v>3120</v>
      </c>
      <c r="D72">
        <v>39</v>
      </c>
      <c r="E72" s="1">
        <v>44835.898055555554</v>
      </c>
      <c r="F72" s="1">
        <v>45992.809305555558</v>
      </c>
      <c r="G72">
        <v>80</v>
      </c>
      <c r="H72">
        <v>80</v>
      </c>
      <c r="I72">
        <v>80</v>
      </c>
      <c r="J72">
        <v>80</v>
      </c>
      <c r="K72">
        <v>9</v>
      </c>
      <c r="L72" t="b">
        <v>1</v>
      </c>
      <c r="M72" t="s">
        <v>112</v>
      </c>
      <c r="N72">
        <v>29</v>
      </c>
      <c r="O72" t="b">
        <v>1</v>
      </c>
      <c r="P72" t="s">
        <v>28</v>
      </c>
      <c r="Q72">
        <v>3</v>
      </c>
      <c r="R72">
        <v>4</v>
      </c>
      <c r="S72">
        <v>4</v>
      </c>
      <c r="T72">
        <v>344</v>
      </c>
    </row>
    <row r="73" spans="1:20">
      <c r="A73" t="s">
        <v>113</v>
      </c>
      <c r="B73" t="s">
        <v>21</v>
      </c>
      <c r="C73">
        <v>3900</v>
      </c>
      <c r="D73">
        <v>39</v>
      </c>
      <c r="E73" s="1">
        <v>44835.897615740738</v>
      </c>
      <c r="F73" s="1">
        <v>45992.808888888889</v>
      </c>
      <c r="G73">
        <v>100</v>
      </c>
      <c r="H73">
        <v>100</v>
      </c>
      <c r="I73">
        <v>100</v>
      </c>
      <c r="J73">
        <v>100</v>
      </c>
      <c r="K73">
        <v>9</v>
      </c>
      <c r="L73" t="b">
        <v>1</v>
      </c>
      <c r="M73" t="s">
        <v>114</v>
      </c>
      <c r="N73">
        <v>29</v>
      </c>
      <c r="O73" t="b">
        <v>1</v>
      </c>
      <c r="P73" t="s">
        <v>28</v>
      </c>
      <c r="Q73">
        <v>3</v>
      </c>
      <c r="R73">
        <v>4</v>
      </c>
      <c r="S73">
        <v>4</v>
      </c>
      <c r="T73">
        <v>344</v>
      </c>
    </row>
    <row r="74" spans="1:20">
      <c r="A74" t="s">
        <v>24</v>
      </c>
      <c r="B74" t="s">
        <v>21</v>
      </c>
      <c r="C74">
        <v>3860</v>
      </c>
      <c r="D74">
        <v>38</v>
      </c>
      <c r="E74" s="1">
        <v>44841.751620370371</v>
      </c>
      <c r="F74" s="1">
        <v>45980.800439814811</v>
      </c>
      <c r="G74">
        <v>101.578947368421</v>
      </c>
      <c r="H74">
        <v>103</v>
      </c>
      <c r="I74">
        <v>103</v>
      </c>
      <c r="J74">
        <v>100</v>
      </c>
      <c r="K74">
        <v>21</v>
      </c>
      <c r="L74" t="b">
        <v>1</v>
      </c>
      <c r="M74" t="s">
        <v>115</v>
      </c>
      <c r="N74">
        <v>30</v>
      </c>
      <c r="O74" t="b">
        <v>1</v>
      </c>
      <c r="P74" t="s">
        <v>28</v>
      </c>
      <c r="Q74">
        <v>3</v>
      </c>
      <c r="R74">
        <v>4</v>
      </c>
      <c r="S74">
        <v>4</v>
      </c>
      <c r="T74">
        <v>344</v>
      </c>
    </row>
    <row r="75" spans="1:20">
      <c r="A75" t="s">
        <v>46</v>
      </c>
      <c r="B75" t="s">
        <v>21</v>
      </c>
      <c r="C75">
        <v>2942</v>
      </c>
      <c r="D75">
        <v>22</v>
      </c>
      <c r="E75" s="1">
        <v>44805.896111111113</v>
      </c>
      <c r="F75" s="1">
        <v>45444.653090277781</v>
      </c>
      <c r="G75">
        <v>133.72727272727201</v>
      </c>
      <c r="H75">
        <v>100</v>
      </c>
      <c r="I75">
        <v>206</v>
      </c>
      <c r="J75">
        <v>100</v>
      </c>
      <c r="K75">
        <v>557</v>
      </c>
      <c r="L75" t="b">
        <v>1</v>
      </c>
      <c r="M75" t="s">
        <v>116</v>
      </c>
      <c r="N75">
        <v>29</v>
      </c>
      <c r="O75" t="b">
        <v>1</v>
      </c>
      <c r="P75" t="s">
        <v>26</v>
      </c>
      <c r="Q75">
        <v>1</v>
      </c>
      <c r="R75">
        <v>3</v>
      </c>
      <c r="S75">
        <v>3</v>
      </c>
      <c r="T75">
        <v>133</v>
      </c>
    </row>
    <row r="76" spans="1:20">
      <c r="A76" t="s">
        <v>117</v>
      </c>
      <c r="B76" t="s">
        <v>21</v>
      </c>
      <c r="C76">
        <v>2300</v>
      </c>
      <c r="D76">
        <v>23</v>
      </c>
      <c r="E76" s="1">
        <v>45308.740034722221</v>
      </c>
      <c r="F76" s="1">
        <v>45978.802002314813</v>
      </c>
      <c r="G76">
        <v>100</v>
      </c>
      <c r="H76">
        <v>100</v>
      </c>
      <c r="I76">
        <v>100</v>
      </c>
      <c r="J76">
        <v>100</v>
      </c>
      <c r="K76">
        <v>23</v>
      </c>
      <c r="L76" t="b">
        <v>1</v>
      </c>
      <c r="M76" t="s">
        <v>118</v>
      </c>
      <c r="N76">
        <v>30</v>
      </c>
      <c r="O76" t="b">
        <v>1</v>
      </c>
      <c r="P76" t="s">
        <v>34</v>
      </c>
      <c r="Q76">
        <v>3</v>
      </c>
      <c r="R76">
        <v>3</v>
      </c>
      <c r="S76">
        <v>3</v>
      </c>
      <c r="T76">
        <v>333</v>
      </c>
    </row>
    <row r="77" spans="1:20">
      <c r="A77" t="s">
        <v>24</v>
      </c>
      <c r="B77" t="s">
        <v>21</v>
      </c>
      <c r="C77">
        <v>2925</v>
      </c>
      <c r="D77">
        <v>39</v>
      </c>
      <c r="E77" s="1">
        <v>44838.209710648145</v>
      </c>
      <c r="F77" s="1">
        <v>46003.375</v>
      </c>
      <c r="G77">
        <v>75</v>
      </c>
      <c r="H77">
        <v>75</v>
      </c>
      <c r="I77">
        <v>75</v>
      </c>
      <c r="J77">
        <v>75</v>
      </c>
      <c r="K77">
        <v>-1</v>
      </c>
      <c r="L77" t="b">
        <v>1</v>
      </c>
      <c r="M77" t="s">
        <v>119</v>
      </c>
      <c r="N77">
        <v>27</v>
      </c>
      <c r="O77" t="b">
        <v>1</v>
      </c>
      <c r="P77" t="s">
        <v>34</v>
      </c>
      <c r="Q77">
        <v>3</v>
      </c>
      <c r="R77">
        <v>4</v>
      </c>
      <c r="S77">
        <v>3</v>
      </c>
      <c r="T77">
        <v>343</v>
      </c>
    </row>
    <row r="78" spans="1:20">
      <c r="A78" t="s">
        <v>120</v>
      </c>
      <c r="B78" t="s">
        <v>21</v>
      </c>
      <c r="C78">
        <v>600</v>
      </c>
      <c r="D78">
        <v>6</v>
      </c>
      <c r="E78" s="1">
        <v>44835.897962962961</v>
      </c>
      <c r="F78" s="1">
        <v>44986.866840277777</v>
      </c>
      <c r="G78">
        <v>100</v>
      </c>
      <c r="H78">
        <v>100</v>
      </c>
      <c r="I78">
        <v>100</v>
      </c>
      <c r="J78">
        <v>100</v>
      </c>
      <c r="K78">
        <v>1015</v>
      </c>
      <c r="L78" t="b">
        <v>1</v>
      </c>
      <c r="M78" t="s">
        <v>121</v>
      </c>
      <c r="N78">
        <v>30</v>
      </c>
      <c r="O78" t="b">
        <v>1</v>
      </c>
      <c r="P78" t="s">
        <v>26</v>
      </c>
      <c r="Q78">
        <v>1</v>
      </c>
      <c r="R78">
        <v>1</v>
      </c>
      <c r="S78">
        <v>1</v>
      </c>
      <c r="T78">
        <v>111</v>
      </c>
    </row>
    <row r="79" spans="1:20">
      <c r="A79" t="s">
        <v>24</v>
      </c>
      <c r="B79" t="s">
        <v>21</v>
      </c>
      <c r="C79">
        <v>206</v>
      </c>
      <c r="D79">
        <v>1</v>
      </c>
      <c r="E79" s="1">
        <v>45400.396597222221</v>
      </c>
      <c r="F79" s="1">
        <v>45400.396597222221</v>
      </c>
      <c r="G79">
        <v>206</v>
      </c>
      <c r="H79">
        <v>206</v>
      </c>
      <c r="I79">
        <v>206</v>
      </c>
      <c r="J79">
        <v>206</v>
      </c>
      <c r="K79">
        <v>602</v>
      </c>
      <c r="L79" t="b">
        <v>0</v>
      </c>
      <c r="M79" t="s">
        <v>122</v>
      </c>
      <c r="O79" t="b">
        <v>0</v>
      </c>
      <c r="P79" t="s">
        <v>36</v>
      </c>
    </row>
    <row r="80" spans="1:20">
      <c r="A80" t="s">
        <v>24</v>
      </c>
      <c r="B80" t="s">
        <v>21</v>
      </c>
      <c r="C80">
        <v>25</v>
      </c>
      <c r="D80">
        <v>1</v>
      </c>
      <c r="E80" s="1">
        <v>45286.179594907408</v>
      </c>
      <c r="F80" s="1">
        <v>45286.179594907408</v>
      </c>
      <c r="G80">
        <v>25</v>
      </c>
      <c r="H80">
        <v>25</v>
      </c>
      <c r="I80">
        <v>25</v>
      </c>
      <c r="J80">
        <v>25</v>
      </c>
      <c r="K80">
        <v>716</v>
      </c>
      <c r="L80" t="b">
        <v>0</v>
      </c>
      <c r="M80" t="s">
        <v>123</v>
      </c>
      <c r="O80" t="b">
        <v>0</v>
      </c>
      <c r="P80" t="s">
        <v>36</v>
      </c>
    </row>
    <row r="81" spans="1:20">
      <c r="A81" t="s">
        <v>20</v>
      </c>
      <c r="B81" t="s">
        <v>21</v>
      </c>
      <c r="C81">
        <v>952.75</v>
      </c>
      <c r="D81">
        <v>37</v>
      </c>
      <c r="E81" s="1">
        <v>44780.740474537037</v>
      </c>
      <c r="F81" s="1">
        <v>45998.803541666668</v>
      </c>
      <c r="G81">
        <v>25.75</v>
      </c>
      <c r="H81">
        <v>25.75</v>
      </c>
      <c r="I81">
        <v>25.75</v>
      </c>
      <c r="J81">
        <v>25.75</v>
      </c>
      <c r="K81">
        <v>3</v>
      </c>
      <c r="L81" t="b">
        <v>1</v>
      </c>
      <c r="M81" t="s">
        <v>124</v>
      </c>
      <c r="N81">
        <v>30</v>
      </c>
      <c r="O81" t="b">
        <v>1</v>
      </c>
      <c r="P81" t="s">
        <v>34</v>
      </c>
      <c r="Q81">
        <v>3</v>
      </c>
      <c r="R81">
        <v>3</v>
      </c>
      <c r="S81">
        <v>1</v>
      </c>
      <c r="T81">
        <v>331</v>
      </c>
    </row>
    <row r="82" spans="1:20">
      <c r="A82" t="s">
        <v>24</v>
      </c>
      <c r="B82" t="s">
        <v>21</v>
      </c>
      <c r="C82">
        <v>2060</v>
      </c>
      <c r="D82">
        <v>40</v>
      </c>
      <c r="E82" s="1">
        <v>44805.895902777775</v>
      </c>
      <c r="F82" s="1">
        <v>45992.809363425928</v>
      </c>
      <c r="G82">
        <v>51.5</v>
      </c>
      <c r="H82">
        <v>51.5</v>
      </c>
      <c r="I82">
        <v>51.5</v>
      </c>
      <c r="J82">
        <v>51.5</v>
      </c>
      <c r="K82">
        <v>9</v>
      </c>
      <c r="L82" t="b">
        <v>1</v>
      </c>
      <c r="M82" t="s">
        <v>125</v>
      </c>
      <c r="N82">
        <v>29</v>
      </c>
      <c r="O82" t="b">
        <v>1</v>
      </c>
      <c r="P82" t="s">
        <v>34</v>
      </c>
      <c r="Q82">
        <v>3</v>
      </c>
      <c r="R82">
        <v>4</v>
      </c>
      <c r="S82">
        <v>3</v>
      </c>
      <c r="T82">
        <v>343</v>
      </c>
    </row>
    <row r="83" spans="1:20">
      <c r="A83" t="s">
        <v>20</v>
      </c>
      <c r="B83" t="s">
        <v>21</v>
      </c>
      <c r="C83">
        <v>1600</v>
      </c>
      <c r="D83">
        <v>16</v>
      </c>
      <c r="E83" s="1">
        <v>45540.605243055557</v>
      </c>
      <c r="F83" s="1">
        <v>45996.803101851852</v>
      </c>
      <c r="G83">
        <v>100</v>
      </c>
      <c r="H83">
        <v>100</v>
      </c>
      <c r="I83">
        <v>100</v>
      </c>
      <c r="J83">
        <v>100</v>
      </c>
      <c r="K83">
        <v>5</v>
      </c>
      <c r="L83" t="b">
        <v>1</v>
      </c>
      <c r="M83" t="s">
        <v>126</v>
      </c>
      <c r="N83">
        <v>30</v>
      </c>
      <c r="O83" t="b">
        <v>1</v>
      </c>
      <c r="P83" t="s">
        <v>23</v>
      </c>
      <c r="Q83">
        <v>3</v>
      </c>
      <c r="R83">
        <v>2</v>
      </c>
      <c r="S83">
        <v>2</v>
      </c>
      <c r="T83">
        <v>322</v>
      </c>
    </row>
    <row r="84" spans="1:20">
      <c r="A84" t="s">
        <v>24</v>
      </c>
      <c r="B84" t="s">
        <v>21</v>
      </c>
      <c r="C84">
        <v>7555.18</v>
      </c>
      <c r="D84">
        <v>38</v>
      </c>
      <c r="E84" s="1">
        <v>44621.041666666664</v>
      </c>
      <c r="F84" s="1">
        <v>45917.800891203704</v>
      </c>
      <c r="G84">
        <v>198.82052631578901</v>
      </c>
      <c r="H84">
        <v>100</v>
      </c>
      <c r="I84">
        <v>2455.1799999999998</v>
      </c>
      <c r="J84">
        <v>100</v>
      </c>
      <c r="K84">
        <v>84</v>
      </c>
      <c r="L84" t="b">
        <v>1</v>
      </c>
      <c r="M84" t="s">
        <v>127</v>
      </c>
      <c r="N84">
        <v>30</v>
      </c>
      <c r="O84" t="b">
        <v>1</v>
      </c>
      <c r="P84" t="s">
        <v>97</v>
      </c>
      <c r="Q84">
        <v>2</v>
      </c>
      <c r="R84">
        <v>4</v>
      </c>
      <c r="S84">
        <v>4</v>
      </c>
      <c r="T84">
        <v>244</v>
      </c>
    </row>
    <row r="85" spans="1:20">
      <c r="A85" t="s">
        <v>40</v>
      </c>
      <c r="B85" t="s">
        <v>21</v>
      </c>
      <c r="C85">
        <v>412</v>
      </c>
      <c r="D85">
        <v>4</v>
      </c>
      <c r="E85" s="1">
        <v>44798.750428240739</v>
      </c>
      <c r="F85" s="1">
        <v>44920.742048611108</v>
      </c>
      <c r="G85">
        <v>103</v>
      </c>
      <c r="H85">
        <v>103</v>
      </c>
      <c r="I85">
        <v>103</v>
      </c>
      <c r="J85">
        <v>103</v>
      </c>
      <c r="K85">
        <v>1081</v>
      </c>
      <c r="L85" t="b">
        <v>1</v>
      </c>
      <c r="M85" t="s">
        <v>128</v>
      </c>
      <c r="N85">
        <v>31</v>
      </c>
      <c r="O85" t="b">
        <v>1</v>
      </c>
      <c r="P85" t="s">
        <v>26</v>
      </c>
      <c r="Q85">
        <v>1</v>
      </c>
      <c r="R85">
        <v>1</v>
      </c>
      <c r="S85">
        <v>1</v>
      </c>
      <c r="T85">
        <v>111</v>
      </c>
    </row>
    <row r="86" spans="1:20">
      <c r="A86" t="s">
        <v>20</v>
      </c>
      <c r="B86" t="s">
        <v>21</v>
      </c>
      <c r="C86">
        <v>2050</v>
      </c>
      <c r="D86">
        <v>41</v>
      </c>
      <c r="E86" s="1">
        <v>44779.740740740737</v>
      </c>
      <c r="F86" s="1">
        <v>45997.800775462965</v>
      </c>
      <c r="G86">
        <v>50</v>
      </c>
      <c r="H86">
        <v>50</v>
      </c>
      <c r="I86">
        <v>50</v>
      </c>
      <c r="J86">
        <v>50</v>
      </c>
      <c r="K86">
        <v>4</v>
      </c>
      <c r="L86" t="b">
        <v>1</v>
      </c>
      <c r="M86" t="s">
        <v>129</v>
      </c>
      <c r="N86">
        <v>30</v>
      </c>
      <c r="O86" t="b">
        <v>1</v>
      </c>
      <c r="P86" t="s">
        <v>34</v>
      </c>
      <c r="Q86">
        <v>3</v>
      </c>
      <c r="R86">
        <v>4</v>
      </c>
      <c r="S86">
        <v>3</v>
      </c>
      <c r="T86">
        <v>343</v>
      </c>
    </row>
    <row r="87" spans="1:20">
      <c r="A87" t="s">
        <v>24</v>
      </c>
      <c r="B87" t="s">
        <v>21</v>
      </c>
      <c r="C87">
        <v>1100</v>
      </c>
      <c r="D87">
        <v>1</v>
      </c>
      <c r="E87" s="1">
        <v>45388.032199074078</v>
      </c>
      <c r="F87" s="1">
        <v>45388.032199074078</v>
      </c>
      <c r="G87">
        <v>1100</v>
      </c>
      <c r="H87">
        <v>1100</v>
      </c>
      <c r="I87">
        <v>1100</v>
      </c>
      <c r="J87">
        <v>1100</v>
      </c>
      <c r="K87">
        <v>614</v>
      </c>
      <c r="L87" t="b">
        <v>0</v>
      </c>
      <c r="M87" t="s">
        <v>130</v>
      </c>
      <c r="O87" t="b">
        <v>0</v>
      </c>
      <c r="P87" t="s">
        <v>36</v>
      </c>
    </row>
    <row r="88" spans="1:20">
      <c r="A88" t="s">
        <v>24</v>
      </c>
      <c r="B88" t="s">
        <v>21</v>
      </c>
      <c r="C88">
        <v>51.5</v>
      </c>
      <c r="D88">
        <v>1</v>
      </c>
      <c r="E88" s="1">
        <v>45770.592013888891</v>
      </c>
      <c r="F88" s="1">
        <v>45770.592013888891</v>
      </c>
      <c r="G88">
        <v>51.5</v>
      </c>
      <c r="H88">
        <v>51.5</v>
      </c>
      <c r="I88">
        <v>51.5</v>
      </c>
      <c r="J88">
        <v>51.5</v>
      </c>
      <c r="K88">
        <v>232</v>
      </c>
      <c r="L88" t="b">
        <v>0</v>
      </c>
      <c r="M88" t="s">
        <v>131</v>
      </c>
      <c r="O88" t="b">
        <v>0</v>
      </c>
      <c r="P88" t="s">
        <v>36</v>
      </c>
    </row>
    <row r="89" spans="1:20">
      <c r="A89" t="s">
        <v>24</v>
      </c>
      <c r="B89" t="s">
        <v>21</v>
      </c>
      <c r="C89">
        <v>850</v>
      </c>
      <c r="D89">
        <v>17</v>
      </c>
      <c r="E89" s="1">
        <v>44835.897928240738</v>
      </c>
      <c r="F89" s="1">
        <v>45323.863229166665</v>
      </c>
      <c r="G89">
        <v>50</v>
      </c>
      <c r="H89">
        <v>50</v>
      </c>
      <c r="I89">
        <v>50</v>
      </c>
      <c r="J89">
        <v>50</v>
      </c>
      <c r="K89">
        <v>678</v>
      </c>
      <c r="L89" t="b">
        <v>1</v>
      </c>
      <c r="M89" t="s">
        <v>132</v>
      </c>
      <c r="N89">
        <v>30</v>
      </c>
      <c r="O89" t="b">
        <v>1</v>
      </c>
      <c r="P89" t="s">
        <v>26</v>
      </c>
      <c r="Q89">
        <v>1</v>
      </c>
      <c r="R89">
        <v>2</v>
      </c>
      <c r="S89">
        <v>1</v>
      </c>
      <c r="T89">
        <v>121</v>
      </c>
    </row>
    <row r="90" spans="1:20">
      <c r="A90" t="s">
        <v>24</v>
      </c>
      <c r="B90" t="s">
        <v>21</v>
      </c>
      <c r="C90">
        <v>51.5</v>
      </c>
      <c r="D90">
        <v>1</v>
      </c>
      <c r="E90" s="1">
        <v>44805.89607638889</v>
      </c>
      <c r="F90" s="1">
        <v>44805.89607638889</v>
      </c>
      <c r="G90">
        <v>51.5</v>
      </c>
      <c r="H90">
        <v>51.5</v>
      </c>
      <c r="I90">
        <v>51.5</v>
      </c>
      <c r="J90">
        <v>51.5</v>
      </c>
      <c r="K90">
        <v>1196</v>
      </c>
      <c r="L90" t="b">
        <v>0</v>
      </c>
      <c r="M90" t="s">
        <v>133</v>
      </c>
      <c r="O90" t="b">
        <v>0</v>
      </c>
      <c r="P90" t="s">
        <v>36</v>
      </c>
    </row>
    <row r="91" spans="1:20">
      <c r="A91" t="s">
        <v>40</v>
      </c>
      <c r="B91" t="s">
        <v>21</v>
      </c>
      <c r="C91">
        <v>1030</v>
      </c>
      <c r="D91">
        <v>20</v>
      </c>
      <c r="E91" s="1">
        <v>44785.745925925927</v>
      </c>
      <c r="F91" s="1">
        <v>45383.873900462961</v>
      </c>
      <c r="G91">
        <v>51.5</v>
      </c>
      <c r="H91">
        <v>51.5</v>
      </c>
      <c r="I91">
        <v>51.5</v>
      </c>
      <c r="J91">
        <v>51.5</v>
      </c>
      <c r="K91">
        <v>618</v>
      </c>
      <c r="L91" t="b">
        <v>1</v>
      </c>
      <c r="M91" t="s">
        <v>134</v>
      </c>
      <c r="N91">
        <v>30</v>
      </c>
      <c r="O91" t="b">
        <v>1</v>
      </c>
      <c r="P91" t="s">
        <v>26</v>
      </c>
      <c r="Q91">
        <v>1</v>
      </c>
      <c r="R91">
        <v>3</v>
      </c>
      <c r="S91">
        <v>2</v>
      </c>
      <c r="T91">
        <v>132</v>
      </c>
    </row>
    <row r="92" spans="1:20">
      <c r="A92" t="s">
        <v>40</v>
      </c>
      <c r="B92" t="s">
        <v>21</v>
      </c>
      <c r="C92">
        <v>2500</v>
      </c>
      <c r="D92">
        <v>25</v>
      </c>
      <c r="E92" s="1">
        <v>44783.755474537036</v>
      </c>
      <c r="F92" s="1">
        <v>45514.601354166669</v>
      </c>
      <c r="G92">
        <v>100</v>
      </c>
      <c r="H92">
        <v>100</v>
      </c>
      <c r="I92">
        <v>100</v>
      </c>
      <c r="J92">
        <v>100</v>
      </c>
      <c r="K92">
        <v>488</v>
      </c>
      <c r="L92" t="b">
        <v>1</v>
      </c>
      <c r="M92" t="s">
        <v>135</v>
      </c>
      <c r="N92">
        <v>30</v>
      </c>
      <c r="O92" t="b">
        <v>1</v>
      </c>
      <c r="P92" t="s">
        <v>26</v>
      </c>
      <c r="Q92">
        <v>1</v>
      </c>
      <c r="R92">
        <v>3</v>
      </c>
      <c r="S92">
        <v>3</v>
      </c>
      <c r="T92">
        <v>133</v>
      </c>
    </row>
    <row r="93" spans="1:20">
      <c r="A93" t="s">
        <v>24</v>
      </c>
      <c r="B93" t="s">
        <v>21</v>
      </c>
      <c r="C93">
        <v>1339</v>
      </c>
      <c r="D93">
        <v>13</v>
      </c>
      <c r="E93" s="1">
        <v>44835.898078703707</v>
      </c>
      <c r="F93" s="1">
        <v>45200.861296296294</v>
      </c>
      <c r="G93">
        <v>103</v>
      </c>
      <c r="H93">
        <v>103</v>
      </c>
      <c r="I93">
        <v>103</v>
      </c>
      <c r="J93">
        <v>103</v>
      </c>
      <c r="K93">
        <v>801</v>
      </c>
      <c r="L93" t="b">
        <v>1</v>
      </c>
      <c r="M93" t="s">
        <v>136</v>
      </c>
      <c r="N93">
        <v>30</v>
      </c>
      <c r="O93" t="b">
        <v>1</v>
      </c>
      <c r="P93" t="s">
        <v>26</v>
      </c>
      <c r="Q93">
        <v>1</v>
      </c>
      <c r="R93">
        <v>1</v>
      </c>
      <c r="S93">
        <v>2</v>
      </c>
      <c r="T93">
        <v>112</v>
      </c>
    </row>
    <row r="94" spans="1:20">
      <c r="A94" t="s">
        <v>24</v>
      </c>
      <c r="B94" t="s">
        <v>21</v>
      </c>
      <c r="C94">
        <v>5275</v>
      </c>
      <c r="D94">
        <v>40</v>
      </c>
      <c r="E94" s="1">
        <v>44816.738738425927</v>
      </c>
      <c r="F94" s="1">
        <v>45976.807916666665</v>
      </c>
      <c r="G94">
        <v>131.875</v>
      </c>
      <c r="H94">
        <v>125</v>
      </c>
      <c r="I94">
        <v>400</v>
      </c>
      <c r="J94">
        <v>125</v>
      </c>
      <c r="K94">
        <v>25</v>
      </c>
      <c r="L94" t="b">
        <v>1</v>
      </c>
      <c r="M94" t="s">
        <v>137</v>
      </c>
      <c r="N94">
        <v>30</v>
      </c>
      <c r="O94" t="b">
        <v>1</v>
      </c>
      <c r="P94" t="s">
        <v>28</v>
      </c>
      <c r="Q94">
        <v>3</v>
      </c>
      <c r="R94">
        <v>4</v>
      </c>
      <c r="S94">
        <v>4</v>
      </c>
      <c r="T94">
        <v>344</v>
      </c>
    </row>
    <row r="95" spans="1:20">
      <c r="A95" t="s">
        <v>20</v>
      </c>
      <c r="B95" t="s">
        <v>21</v>
      </c>
      <c r="C95">
        <v>700</v>
      </c>
      <c r="D95">
        <v>14</v>
      </c>
      <c r="E95" s="1">
        <v>45581.604861111111</v>
      </c>
      <c r="F95" s="1">
        <v>45977.805219907408</v>
      </c>
      <c r="G95">
        <v>50</v>
      </c>
      <c r="H95">
        <v>50</v>
      </c>
      <c r="I95">
        <v>50</v>
      </c>
      <c r="J95">
        <v>50</v>
      </c>
      <c r="K95">
        <v>24</v>
      </c>
      <c r="L95" t="b">
        <v>1</v>
      </c>
      <c r="M95" t="s">
        <v>138</v>
      </c>
      <c r="N95">
        <v>31</v>
      </c>
      <c r="O95" t="b">
        <v>1</v>
      </c>
      <c r="P95" t="s">
        <v>23</v>
      </c>
      <c r="Q95">
        <v>3</v>
      </c>
      <c r="R95">
        <v>1</v>
      </c>
      <c r="S95">
        <v>1</v>
      </c>
      <c r="T95">
        <v>311</v>
      </c>
    </row>
    <row r="96" spans="1:20">
      <c r="A96" t="s">
        <v>139</v>
      </c>
      <c r="B96" t="s">
        <v>21</v>
      </c>
      <c r="C96">
        <v>250</v>
      </c>
      <c r="D96">
        <v>1</v>
      </c>
      <c r="E96" s="1">
        <v>44705.375</v>
      </c>
      <c r="F96" s="1">
        <v>44705.375</v>
      </c>
      <c r="G96">
        <v>250</v>
      </c>
      <c r="H96">
        <v>250</v>
      </c>
      <c r="I96">
        <v>250</v>
      </c>
      <c r="J96">
        <v>250</v>
      </c>
      <c r="K96">
        <v>1297</v>
      </c>
      <c r="L96" t="b">
        <v>0</v>
      </c>
      <c r="M96" t="s">
        <v>140</v>
      </c>
      <c r="O96" t="b">
        <v>0</v>
      </c>
      <c r="P96" t="s">
        <v>36</v>
      </c>
    </row>
    <row r="97" spans="1:20">
      <c r="A97" t="s">
        <v>24</v>
      </c>
      <c r="B97" t="s">
        <v>21</v>
      </c>
      <c r="C97">
        <v>4600</v>
      </c>
      <c r="D97">
        <v>42</v>
      </c>
      <c r="E97" s="1">
        <v>44774.909861111111</v>
      </c>
      <c r="F97" s="1">
        <v>45992.808171296296</v>
      </c>
      <c r="G97">
        <v>109.52380952380901</v>
      </c>
      <c r="H97">
        <v>100</v>
      </c>
      <c r="I97">
        <v>500</v>
      </c>
      <c r="J97">
        <v>100</v>
      </c>
      <c r="K97">
        <v>9</v>
      </c>
      <c r="L97" t="b">
        <v>1</v>
      </c>
      <c r="M97" t="s">
        <v>141</v>
      </c>
      <c r="N97">
        <v>30</v>
      </c>
      <c r="O97" t="b">
        <v>1</v>
      </c>
      <c r="P97" t="s">
        <v>28</v>
      </c>
      <c r="Q97">
        <v>3</v>
      </c>
      <c r="R97">
        <v>4</v>
      </c>
      <c r="S97">
        <v>4</v>
      </c>
      <c r="T97">
        <v>344</v>
      </c>
    </row>
    <row r="98" spans="1:20">
      <c r="A98" t="s">
        <v>20</v>
      </c>
      <c r="B98" t="s">
        <v>21</v>
      </c>
      <c r="C98">
        <v>350</v>
      </c>
      <c r="D98">
        <v>14</v>
      </c>
      <c r="E98" s="1">
        <v>45601.551053240742</v>
      </c>
      <c r="F98" s="1">
        <v>45996.802824074075</v>
      </c>
      <c r="G98">
        <v>25</v>
      </c>
      <c r="H98">
        <v>25</v>
      </c>
      <c r="I98">
        <v>25</v>
      </c>
      <c r="J98">
        <v>25</v>
      </c>
      <c r="K98">
        <v>5</v>
      </c>
      <c r="L98" t="b">
        <v>1</v>
      </c>
      <c r="M98" t="s">
        <v>142</v>
      </c>
      <c r="N98">
        <v>30</v>
      </c>
      <c r="O98" t="b">
        <v>1</v>
      </c>
      <c r="P98" t="s">
        <v>23</v>
      </c>
      <c r="Q98">
        <v>3</v>
      </c>
      <c r="R98">
        <v>1</v>
      </c>
      <c r="S98">
        <v>1</v>
      </c>
      <c r="T98">
        <v>311</v>
      </c>
    </row>
    <row r="99" spans="1:20">
      <c r="A99" t="s">
        <v>20</v>
      </c>
      <c r="B99" t="s">
        <v>21</v>
      </c>
      <c r="C99">
        <v>1400</v>
      </c>
      <c r="D99">
        <v>14</v>
      </c>
      <c r="E99" s="1">
        <v>45597.63758101852</v>
      </c>
      <c r="F99" s="1">
        <v>45992.807812500003</v>
      </c>
      <c r="G99">
        <v>100</v>
      </c>
      <c r="H99">
        <v>100</v>
      </c>
      <c r="I99">
        <v>100</v>
      </c>
      <c r="J99">
        <v>100</v>
      </c>
      <c r="K99">
        <v>9</v>
      </c>
      <c r="L99" t="b">
        <v>1</v>
      </c>
      <c r="M99" t="s">
        <v>143</v>
      </c>
      <c r="N99">
        <v>30</v>
      </c>
      <c r="O99" t="b">
        <v>1</v>
      </c>
      <c r="P99" t="s">
        <v>23</v>
      </c>
      <c r="Q99">
        <v>3</v>
      </c>
      <c r="R99">
        <v>1</v>
      </c>
      <c r="S99">
        <v>2</v>
      </c>
      <c r="T99">
        <v>312</v>
      </c>
    </row>
    <row r="100" spans="1:20">
      <c r="A100" t="s">
        <v>90</v>
      </c>
      <c r="B100" t="s">
        <v>21</v>
      </c>
      <c r="C100">
        <v>1100</v>
      </c>
      <c r="D100">
        <v>2</v>
      </c>
      <c r="E100" s="1">
        <v>44627.756249999999</v>
      </c>
      <c r="F100" s="1">
        <v>44825.710868055554</v>
      </c>
      <c r="G100">
        <v>550</v>
      </c>
      <c r="H100">
        <v>550</v>
      </c>
      <c r="I100">
        <v>600</v>
      </c>
      <c r="J100">
        <v>500</v>
      </c>
      <c r="K100">
        <v>1176</v>
      </c>
      <c r="L100" t="b">
        <v>1</v>
      </c>
      <c r="M100" t="s">
        <v>144</v>
      </c>
      <c r="N100">
        <v>197</v>
      </c>
      <c r="O100" t="b">
        <v>0</v>
      </c>
      <c r="P100" t="s">
        <v>52</v>
      </c>
    </row>
    <row r="101" spans="1:20">
      <c r="A101" t="s">
        <v>20</v>
      </c>
      <c r="B101" t="s">
        <v>21</v>
      </c>
      <c r="C101">
        <v>927</v>
      </c>
      <c r="D101">
        <v>15</v>
      </c>
      <c r="E101" s="1">
        <v>45572.607199074075</v>
      </c>
      <c r="F101" s="1">
        <v>45998.80363425926</v>
      </c>
      <c r="G101">
        <v>61.8</v>
      </c>
      <c r="H101">
        <v>61.8</v>
      </c>
      <c r="I101">
        <v>61.8</v>
      </c>
      <c r="J101">
        <v>61.8</v>
      </c>
      <c r="K101">
        <v>3</v>
      </c>
      <c r="L101" t="b">
        <v>1</v>
      </c>
      <c r="M101" t="s">
        <v>145</v>
      </c>
      <c r="N101">
        <v>30</v>
      </c>
      <c r="O101" t="b">
        <v>1</v>
      </c>
      <c r="P101" t="s">
        <v>23</v>
      </c>
      <c r="Q101">
        <v>3</v>
      </c>
      <c r="R101">
        <v>2</v>
      </c>
      <c r="S101">
        <v>1</v>
      </c>
      <c r="T101">
        <v>321</v>
      </c>
    </row>
    <row r="102" spans="1:20">
      <c r="A102" t="s">
        <v>20</v>
      </c>
      <c r="B102" t="s">
        <v>21</v>
      </c>
      <c r="C102">
        <v>1400</v>
      </c>
      <c r="D102">
        <v>14</v>
      </c>
      <c r="E102" s="1">
        <v>45578.609791666669</v>
      </c>
      <c r="F102" s="1">
        <v>45974.80027777778</v>
      </c>
      <c r="G102">
        <v>100</v>
      </c>
      <c r="H102">
        <v>100</v>
      </c>
      <c r="I102">
        <v>100</v>
      </c>
      <c r="J102">
        <v>100</v>
      </c>
      <c r="K102">
        <v>27</v>
      </c>
      <c r="L102" t="b">
        <v>1</v>
      </c>
      <c r="M102" t="s">
        <v>146</v>
      </c>
      <c r="N102">
        <v>30</v>
      </c>
      <c r="O102" t="b">
        <v>1</v>
      </c>
      <c r="P102" t="s">
        <v>23</v>
      </c>
      <c r="Q102">
        <v>3</v>
      </c>
      <c r="R102">
        <v>1</v>
      </c>
      <c r="S102">
        <v>2</v>
      </c>
      <c r="T102">
        <v>312</v>
      </c>
    </row>
    <row r="103" spans="1:20">
      <c r="A103" t="s">
        <v>24</v>
      </c>
      <c r="B103" t="s">
        <v>21</v>
      </c>
      <c r="C103">
        <v>609</v>
      </c>
      <c r="D103">
        <v>2</v>
      </c>
      <c r="E103" s="1">
        <v>44617.288888888892</v>
      </c>
      <c r="F103" s="1">
        <v>44849.357743055552</v>
      </c>
      <c r="G103">
        <v>304.5</v>
      </c>
      <c r="H103">
        <v>304.5</v>
      </c>
      <c r="I103">
        <v>309</v>
      </c>
      <c r="J103">
        <v>300</v>
      </c>
      <c r="K103">
        <v>1153</v>
      </c>
      <c r="L103" t="b">
        <v>1</v>
      </c>
      <c r="M103" t="s">
        <v>147</v>
      </c>
      <c r="N103">
        <v>232</v>
      </c>
      <c r="O103" t="b">
        <v>0</v>
      </c>
      <c r="P103" t="s">
        <v>52</v>
      </c>
    </row>
    <row r="104" spans="1:20">
      <c r="A104" t="s">
        <v>40</v>
      </c>
      <c r="B104" t="s">
        <v>21</v>
      </c>
      <c r="C104">
        <v>1318.4</v>
      </c>
      <c r="D104">
        <v>41</v>
      </c>
      <c r="E104" s="1">
        <v>44781.740254629629</v>
      </c>
      <c r="F104" s="1">
        <v>45992.807256944441</v>
      </c>
      <c r="G104">
        <v>32.156097560975603</v>
      </c>
      <c r="H104">
        <v>15.45</v>
      </c>
      <c r="I104">
        <v>51.5</v>
      </c>
      <c r="J104">
        <v>15.45</v>
      </c>
      <c r="K104">
        <v>9</v>
      </c>
      <c r="L104" t="b">
        <v>1</v>
      </c>
      <c r="M104" t="s">
        <v>148</v>
      </c>
      <c r="N104">
        <v>30</v>
      </c>
      <c r="O104" t="b">
        <v>1</v>
      </c>
      <c r="P104" t="s">
        <v>34</v>
      </c>
      <c r="Q104">
        <v>3</v>
      </c>
      <c r="R104">
        <v>4</v>
      </c>
      <c r="S104">
        <v>2</v>
      </c>
      <c r="T104">
        <v>342</v>
      </c>
    </row>
    <row r="105" spans="1:20">
      <c r="A105" t="s">
        <v>24</v>
      </c>
      <c r="B105" t="s">
        <v>21</v>
      </c>
      <c r="C105">
        <v>103</v>
      </c>
      <c r="D105">
        <v>1</v>
      </c>
      <c r="E105" s="1">
        <v>44854.114988425928</v>
      </c>
      <c r="F105" s="1">
        <v>44854.114988425928</v>
      </c>
      <c r="G105">
        <v>103</v>
      </c>
      <c r="H105">
        <v>103</v>
      </c>
      <c r="I105">
        <v>103</v>
      </c>
      <c r="J105">
        <v>103</v>
      </c>
      <c r="K105">
        <v>1148</v>
      </c>
      <c r="L105" t="b">
        <v>0</v>
      </c>
      <c r="M105" t="s">
        <v>149</v>
      </c>
      <c r="O105" t="b">
        <v>0</v>
      </c>
      <c r="P105" t="s">
        <v>36</v>
      </c>
    </row>
    <row r="106" spans="1:20">
      <c r="A106" t="s">
        <v>150</v>
      </c>
      <c r="B106" t="s">
        <v>21</v>
      </c>
      <c r="C106">
        <v>1500</v>
      </c>
      <c r="D106">
        <v>1</v>
      </c>
      <c r="E106" s="1">
        <v>45415.664456018516</v>
      </c>
      <c r="F106" s="1">
        <v>45415.664456018516</v>
      </c>
      <c r="G106">
        <v>1500</v>
      </c>
      <c r="H106">
        <v>1500</v>
      </c>
      <c r="I106">
        <v>1500</v>
      </c>
      <c r="J106">
        <v>1500</v>
      </c>
      <c r="K106">
        <v>586</v>
      </c>
      <c r="L106" t="b">
        <v>0</v>
      </c>
      <c r="M106" t="s">
        <v>151</v>
      </c>
      <c r="O106" t="b">
        <v>0</v>
      </c>
      <c r="P106" t="s">
        <v>36</v>
      </c>
    </row>
    <row r="107" spans="1:20">
      <c r="A107" t="s">
        <v>20</v>
      </c>
      <c r="B107" t="s">
        <v>21</v>
      </c>
      <c r="C107">
        <v>1400</v>
      </c>
      <c r="D107">
        <v>14</v>
      </c>
      <c r="E107" s="1">
        <v>45602.549791666665</v>
      </c>
      <c r="F107" s="1">
        <v>45997.800798611112</v>
      </c>
      <c r="G107">
        <v>100</v>
      </c>
      <c r="H107">
        <v>100</v>
      </c>
      <c r="I107">
        <v>100</v>
      </c>
      <c r="J107">
        <v>100</v>
      </c>
      <c r="K107">
        <v>4</v>
      </c>
      <c r="L107" t="b">
        <v>1</v>
      </c>
      <c r="M107" t="s">
        <v>152</v>
      </c>
      <c r="N107">
        <v>30</v>
      </c>
      <c r="O107" t="b">
        <v>1</v>
      </c>
      <c r="P107" t="s">
        <v>23</v>
      </c>
      <c r="Q107">
        <v>3</v>
      </c>
      <c r="R107">
        <v>1</v>
      </c>
      <c r="S107">
        <v>2</v>
      </c>
      <c r="T107">
        <v>312</v>
      </c>
    </row>
    <row r="108" spans="1:20">
      <c r="A108" t="s">
        <v>40</v>
      </c>
      <c r="B108" t="s">
        <v>21</v>
      </c>
      <c r="C108">
        <v>750</v>
      </c>
      <c r="D108">
        <v>1</v>
      </c>
      <c r="E108" s="1">
        <v>45414.465671296297</v>
      </c>
      <c r="F108" s="1">
        <v>45414.465671296297</v>
      </c>
      <c r="G108">
        <v>750</v>
      </c>
      <c r="H108">
        <v>750</v>
      </c>
      <c r="I108">
        <v>750</v>
      </c>
      <c r="J108">
        <v>750</v>
      </c>
      <c r="K108">
        <v>588</v>
      </c>
      <c r="L108" t="b">
        <v>0</v>
      </c>
      <c r="M108" t="s">
        <v>153</v>
      </c>
      <c r="O108" t="b">
        <v>0</v>
      </c>
      <c r="P108" t="s">
        <v>36</v>
      </c>
    </row>
    <row r="109" spans="1:20">
      <c r="A109" t="s">
        <v>24</v>
      </c>
      <c r="B109" t="s">
        <v>21</v>
      </c>
      <c r="C109">
        <v>1205.0999999999999</v>
      </c>
      <c r="D109">
        <v>39</v>
      </c>
      <c r="E109" s="1">
        <v>44821.74181712963</v>
      </c>
      <c r="F109" s="1">
        <v>45978.801782407405</v>
      </c>
      <c r="G109">
        <v>30.9</v>
      </c>
      <c r="H109">
        <v>30.9</v>
      </c>
      <c r="I109">
        <v>30.9</v>
      </c>
      <c r="J109">
        <v>30.9</v>
      </c>
      <c r="K109">
        <v>23</v>
      </c>
      <c r="L109" t="b">
        <v>1</v>
      </c>
      <c r="M109" t="s">
        <v>154</v>
      </c>
      <c r="N109">
        <v>30</v>
      </c>
      <c r="O109" t="b">
        <v>1</v>
      </c>
      <c r="P109" t="s">
        <v>34</v>
      </c>
      <c r="Q109">
        <v>3</v>
      </c>
      <c r="R109">
        <v>4</v>
      </c>
      <c r="S109">
        <v>2</v>
      </c>
      <c r="T109">
        <v>342</v>
      </c>
    </row>
    <row r="110" spans="1:20">
      <c r="A110" t="s">
        <v>40</v>
      </c>
      <c r="B110" t="s">
        <v>21</v>
      </c>
      <c r="C110">
        <v>3800</v>
      </c>
      <c r="D110">
        <v>38</v>
      </c>
      <c r="E110" s="1">
        <v>44849.84611111111</v>
      </c>
      <c r="F110" s="1">
        <v>45976.806203703702</v>
      </c>
      <c r="G110">
        <v>100</v>
      </c>
      <c r="H110">
        <v>100</v>
      </c>
      <c r="I110">
        <v>100</v>
      </c>
      <c r="J110">
        <v>100</v>
      </c>
      <c r="K110">
        <v>25</v>
      </c>
      <c r="L110" t="b">
        <v>1</v>
      </c>
      <c r="M110" t="s">
        <v>155</v>
      </c>
      <c r="N110">
        <v>30</v>
      </c>
      <c r="O110" t="b">
        <v>1</v>
      </c>
      <c r="P110" t="s">
        <v>28</v>
      </c>
      <c r="Q110">
        <v>3</v>
      </c>
      <c r="R110">
        <v>4</v>
      </c>
      <c r="S110">
        <v>4</v>
      </c>
      <c r="T110">
        <v>344</v>
      </c>
    </row>
    <row r="111" spans="1:20">
      <c r="A111" t="s">
        <v>156</v>
      </c>
      <c r="B111" t="s">
        <v>21</v>
      </c>
      <c r="C111">
        <v>800</v>
      </c>
      <c r="D111">
        <v>14</v>
      </c>
      <c r="E111" s="1">
        <v>45597.647349537037</v>
      </c>
      <c r="F111" s="1">
        <v>45992.809594907405</v>
      </c>
      <c r="G111">
        <v>57.142857142857103</v>
      </c>
      <c r="H111">
        <v>50</v>
      </c>
      <c r="I111">
        <v>100</v>
      </c>
      <c r="J111">
        <v>50</v>
      </c>
      <c r="K111">
        <v>9</v>
      </c>
      <c r="L111" t="b">
        <v>1</v>
      </c>
      <c r="M111" t="s">
        <v>157</v>
      </c>
      <c r="N111">
        <v>29</v>
      </c>
      <c r="O111" t="b">
        <v>1</v>
      </c>
      <c r="P111" t="s">
        <v>23</v>
      </c>
      <c r="Q111">
        <v>3</v>
      </c>
      <c r="R111">
        <v>1</v>
      </c>
      <c r="S111">
        <v>1</v>
      </c>
      <c r="T111">
        <v>311</v>
      </c>
    </row>
    <row r="112" spans="1:20">
      <c r="A112" t="s">
        <v>20</v>
      </c>
      <c r="B112" t="s">
        <v>21</v>
      </c>
      <c r="C112">
        <v>77.25</v>
      </c>
      <c r="D112">
        <v>3</v>
      </c>
      <c r="E112" s="1">
        <v>45572.607430555552</v>
      </c>
      <c r="F112" s="1">
        <v>45633.550081018519</v>
      </c>
      <c r="G112">
        <v>25.75</v>
      </c>
      <c r="H112">
        <v>25.75</v>
      </c>
      <c r="I112">
        <v>25.75</v>
      </c>
      <c r="J112">
        <v>25.75</v>
      </c>
      <c r="K112">
        <v>369</v>
      </c>
      <c r="L112" t="b">
        <v>1</v>
      </c>
      <c r="M112" t="s">
        <v>158</v>
      </c>
      <c r="N112">
        <v>30</v>
      </c>
      <c r="O112" t="b">
        <v>1</v>
      </c>
      <c r="P112" t="s">
        <v>26</v>
      </c>
      <c r="Q112">
        <v>1</v>
      </c>
      <c r="R112">
        <v>1</v>
      </c>
      <c r="S112">
        <v>1</v>
      </c>
      <c r="T112">
        <v>111</v>
      </c>
    </row>
    <row r="113" spans="1:20">
      <c r="A113" t="s">
        <v>40</v>
      </c>
      <c r="B113" t="s">
        <v>21</v>
      </c>
      <c r="C113">
        <v>6000</v>
      </c>
      <c r="D113">
        <v>4</v>
      </c>
      <c r="E113" s="1">
        <v>44904.744085648148</v>
      </c>
      <c r="F113" s="1">
        <v>45865.808761574073</v>
      </c>
      <c r="G113">
        <v>1500</v>
      </c>
      <c r="H113">
        <v>1500</v>
      </c>
      <c r="I113">
        <v>2000</v>
      </c>
      <c r="J113">
        <v>1000</v>
      </c>
      <c r="K113">
        <v>136</v>
      </c>
      <c r="L113" t="b">
        <v>1</v>
      </c>
      <c r="M113" t="s">
        <v>159</v>
      </c>
      <c r="N113">
        <v>373</v>
      </c>
      <c r="O113" t="b">
        <v>0</v>
      </c>
      <c r="P113" t="s">
        <v>52</v>
      </c>
    </row>
    <row r="114" spans="1:20">
      <c r="A114" t="s">
        <v>160</v>
      </c>
      <c r="B114" t="s">
        <v>21</v>
      </c>
      <c r="C114">
        <v>1000</v>
      </c>
      <c r="D114">
        <v>1</v>
      </c>
      <c r="E114" s="1">
        <v>45852.806319444448</v>
      </c>
      <c r="F114" s="1">
        <v>45852.806319444448</v>
      </c>
      <c r="G114">
        <v>1000</v>
      </c>
      <c r="H114">
        <v>1000</v>
      </c>
      <c r="I114">
        <v>1000</v>
      </c>
      <c r="J114">
        <v>1000</v>
      </c>
      <c r="K114">
        <v>149</v>
      </c>
      <c r="L114" t="b">
        <v>0</v>
      </c>
      <c r="M114" t="s">
        <v>161</v>
      </c>
      <c r="O114" t="b">
        <v>0</v>
      </c>
      <c r="P114" t="s">
        <v>36</v>
      </c>
    </row>
    <row r="115" spans="1:20">
      <c r="A115" t="s">
        <v>20</v>
      </c>
      <c r="B115" t="s">
        <v>21</v>
      </c>
      <c r="C115">
        <v>700</v>
      </c>
      <c r="D115">
        <v>14</v>
      </c>
      <c r="E115" s="1">
        <v>45597.638287037036</v>
      </c>
      <c r="F115" s="1">
        <v>45992.807951388888</v>
      </c>
      <c r="G115">
        <v>50</v>
      </c>
      <c r="H115">
        <v>50</v>
      </c>
      <c r="I115">
        <v>50</v>
      </c>
      <c r="J115">
        <v>50</v>
      </c>
      <c r="K115">
        <v>9</v>
      </c>
      <c r="L115" t="b">
        <v>1</v>
      </c>
      <c r="M115" t="s">
        <v>162</v>
      </c>
      <c r="N115">
        <v>29</v>
      </c>
      <c r="O115" t="b">
        <v>1</v>
      </c>
      <c r="P115" t="s">
        <v>23</v>
      </c>
      <c r="Q115">
        <v>3</v>
      </c>
      <c r="R115">
        <v>1</v>
      </c>
      <c r="S115">
        <v>1</v>
      </c>
      <c r="T115">
        <v>311</v>
      </c>
    </row>
    <row r="116" spans="1:20">
      <c r="A116" t="s">
        <v>24</v>
      </c>
      <c r="B116" t="s">
        <v>21</v>
      </c>
      <c r="C116">
        <v>7500</v>
      </c>
      <c r="D116">
        <v>1</v>
      </c>
      <c r="E116" s="1">
        <v>44814.025277777779</v>
      </c>
      <c r="F116" s="1">
        <v>44814.025277777779</v>
      </c>
      <c r="G116">
        <v>7500</v>
      </c>
      <c r="H116">
        <v>7500</v>
      </c>
      <c r="I116">
        <v>7500</v>
      </c>
      <c r="J116">
        <v>7500</v>
      </c>
      <c r="K116">
        <v>1188</v>
      </c>
      <c r="L116" t="b">
        <v>0</v>
      </c>
      <c r="M116" t="s">
        <v>163</v>
      </c>
      <c r="O116" t="b">
        <v>0</v>
      </c>
      <c r="P116" t="s">
        <v>36</v>
      </c>
    </row>
    <row r="117" spans="1:20">
      <c r="A117" t="s">
        <v>24</v>
      </c>
      <c r="B117" t="s">
        <v>21</v>
      </c>
      <c r="C117">
        <v>2360</v>
      </c>
      <c r="D117">
        <v>20</v>
      </c>
      <c r="E117" s="1">
        <v>45346.737835648149</v>
      </c>
      <c r="F117" s="1">
        <v>45924.800567129627</v>
      </c>
      <c r="G117">
        <v>118</v>
      </c>
      <c r="H117">
        <v>128.75</v>
      </c>
      <c r="I117">
        <v>128.75</v>
      </c>
      <c r="J117">
        <v>75</v>
      </c>
      <c r="K117">
        <v>77</v>
      </c>
      <c r="L117" t="b">
        <v>1</v>
      </c>
      <c r="M117" t="s">
        <v>164</v>
      </c>
      <c r="N117">
        <v>30</v>
      </c>
      <c r="O117" t="b">
        <v>1</v>
      </c>
      <c r="P117" t="s">
        <v>97</v>
      </c>
      <c r="Q117">
        <v>2</v>
      </c>
      <c r="R117">
        <v>3</v>
      </c>
      <c r="S117">
        <v>3</v>
      </c>
      <c r="T117">
        <v>233</v>
      </c>
    </row>
    <row r="118" spans="1:20">
      <c r="A118" t="s">
        <v>20</v>
      </c>
      <c r="B118" t="s">
        <v>21</v>
      </c>
      <c r="C118">
        <v>2000</v>
      </c>
      <c r="D118">
        <v>14</v>
      </c>
      <c r="E118" s="1">
        <v>45583.604212962964</v>
      </c>
      <c r="F118" s="1">
        <v>45979.800555555557</v>
      </c>
      <c r="G118">
        <v>142.85714285714201</v>
      </c>
      <c r="H118">
        <v>150</v>
      </c>
      <c r="I118">
        <v>150</v>
      </c>
      <c r="J118">
        <v>50</v>
      </c>
      <c r="K118">
        <v>22</v>
      </c>
      <c r="L118" t="b">
        <v>1</v>
      </c>
      <c r="M118" t="s">
        <v>165</v>
      </c>
      <c r="N118">
        <v>30</v>
      </c>
      <c r="O118" t="b">
        <v>1</v>
      </c>
      <c r="P118" t="s">
        <v>23</v>
      </c>
      <c r="Q118">
        <v>3</v>
      </c>
      <c r="R118">
        <v>1</v>
      </c>
      <c r="S118">
        <v>3</v>
      </c>
      <c r="T118">
        <v>313</v>
      </c>
    </row>
    <row r="119" spans="1:20">
      <c r="A119" t="s">
        <v>20</v>
      </c>
      <c r="B119" t="s">
        <v>21</v>
      </c>
      <c r="C119">
        <v>2884</v>
      </c>
      <c r="D119">
        <v>14</v>
      </c>
      <c r="E119" s="1">
        <v>45585.612361111111</v>
      </c>
      <c r="F119" s="1">
        <v>45981.800798611112</v>
      </c>
      <c r="G119">
        <v>206</v>
      </c>
      <c r="H119">
        <v>206</v>
      </c>
      <c r="I119">
        <v>206</v>
      </c>
      <c r="J119">
        <v>206</v>
      </c>
      <c r="K119">
        <v>20</v>
      </c>
      <c r="L119" t="b">
        <v>1</v>
      </c>
      <c r="M119" t="s">
        <v>166</v>
      </c>
      <c r="N119">
        <v>30</v>
      </c>
      <c r="O119" t="b">
        <v>1</v>
      </c>
      <c r="P119" t="s">
        <v>23</v>
      </c>
      <c r="Q119">
        <v>3</v>
      </c>
      <c r="R119">
        <v>1</v>
      </c>
      <c r="S119">
        <v>3</v>
      </c>
      <c r="T119">
        <v>313</v>
      </c>
    </row>
    <row r="120" spans="1:20">
      <c r="A120" t="s">
        <v>20</v>
      </c>
      <c r="B120" t="s">
        <v>21</v>
      </c>
      <c r="C120">
        <v>1400</v>
      </c>
      <c r="D120">
        <v>14</v>
      </c>
      <c r="E120" s="1">
        <v>45597.645243055558</v>
      </c>
      <c r="F120" s="1">
        <v>45992.809236111112</v>
      </c>
      <c r="G120">
        <v>100</v>
      </c>
      <c r="H120">
        <v>100</v>
      </c>
      <c r="I120">
        <v>100</v>
      </c>
      <c r="J120">
        <v>100</v>
      </c>
      <c r="K120">
        <v>9</v>
      </c>
      <c r="L120" t="b">
        <v>1</v>
      </c>
      <c r="M120" t="s">
        <v>167</v>
      </c>
      <c r="N120">
        <v>29</v>
      </c>
      <c r="O120" t="b">
        <v>1</v>
      </c>
      <c r="P120" t="s">
        <v>23</v>
      </c>
      <c r="Q120">
        <v>3</v>
      </c>
      <c r="R120">
        <v>1</v>
      </c>
      <c r="S120">
        <v>2</v>
      </c>
      <c r="T120">
        <v>312</v>
      </c>
    </row>
    <row r="121" spans="1:20">
      <c r="A121" t="s">
        <v>24</v>
      </c>
      <c r="B121" t="s">
        <v>21</v>
      </c>
      <c r="C121">
        <v>2987</v>
      </c>
      <c r="D121">
        <v>29</v>
      </c>
      <c r="E121" s="1">
        <v>44820.757384259261</v>
      </c>
      <c r="F121" s="1">
        <v>45676.550682870373</v>
      </c>
      <c r="G121">
        <v>103</v>
      </c>
      <c r="H121">
        <v>103</v>
      </c>
      <c r="I121">
        <v>103</v>
      </c>
      <c r="J121">
        <v>103</v>
      </c>
      <c r="K121">
        <v>326</v>
      </c>
      <c r="L121" t="b">
        <v>1</v>
      </c>
      <c r="M121" t="s">
        <v>168</v>
      </c>
      <c r="N121">
        <v>30</v>
      </c>
      <c r="O121" t="b">
        <v>1</v>
      </c>
      <c r="P121" t="s">
        <v>26</v>
      </c>
      <c r="Q121">
        <v>1</v>
      </c>
      <c r="R121">
        <v>3</v>
      </c>
      <c r="S121">
        <v>3</v>
      </c>
      <c r="T121">
        <v>133</v>
      </c>
    </row>
    <row r="122" spans="1:20">
      <c r="A122" t="s">
        <v>24</v>
      </c>
      <c r="B122" t="s">
        <v>21</v>
      </c>
      <c r="C122">
        <v>500</v>
      </c>
      <c r="D122">
        <v>1</v>
      </c>
      <c r="E122" s="1">
        <v>44853.73746527778</v>
      </c>
      <c r="F122" s="1">
        <v>44853.73746527778</v>
      </c>
      <c r="G122">
        <v>500</v>
      </c>
      <c r="H122">
        <v>500</v>
      </c>
      <c r="I122">
        <v>500</v>
      </c>
      <c r="J122">
        <v>500</v>
      </c>
      <c r="K122">
        <v>1148</v>
      </c>
      <c r="L122" t="b">
        <v>0</v>
      </c>
      <c r="M122" t="s">
        <v>169</v>
      </c>
      <c r="O122" t="b">
        <v>0</v>
      </c>
      <c r="P122" t="s">
        <v>36</v>
      </c>
    </row>
    <row r="123" spans="1:20">
      <c r="A123" t="s">
        <v>24</v>
      </c>
      <c r="B123" t="s">
        <v>21</v>
      </c>
      <c r="C123">
        <v>9750</v>
      </c>
      <c r="D123">
        <v>39</v>
      </c>
      <c r="E123" s="1">
        <v>44819.835925925923</v>
      </c>
      <c r="F123" s="1">
        <v>45976.805995370371</v>
      </c>
      <c r="G123">
        <v>250</v>
      </c>
      <c r="H123">
        <v>250</v>
      </c>
      <c r="I123">
        <v>250</v>
      </c>
      <c r="J123">
        <v>250</v>
      </c>
      <c r="K123">
        <v>25</v>
      </c>
      <c r="L123" t="b">
        <v>1</v>
      </c>
      <c r="M123" t="s">
        <v>170</v>
      </c>
      <c r="N123">
        <v>30</v>
      </c>
      <c r="O123" t="b">
        <v>1</v>
      </c>
      <c r="P123" t="s">
        <v>28</v>
      </c>
      <c r="Q123">
        <v>3</v>
      </c>
      <c r="R123">
        <v>4</v>
      </c>
      <c r="S123">
        <v>4</v>
      </c>
      <c r="T123">
        <v>344</v>
      </c>
    </row>
    <row r="124" spans="1:20">
      <c r="A124" t="s">
        <v>24</v>
      </c>
      <c r="B124" t="s">
        <v>21</v>
      </c>
      <c r="C124">
        <v>1545</v>
      </c>
      <c r="D124">
        <v>6</v>
      </c>
      <c r="E124" s="1">
        <v>45848.804965277777</v>
      </c>
      <c r="F124" s="1">
        <v>46001.803749999999</v>
      </c>
      <c r="G124">
        <v>257.5</v>
      </c>
      <c r="H124">
        <v>257.5</v>
      </c>
      <c r="I124">
        <v>257.5</v>
      </c>
      <c r="J124">
        <v>257.5</v>
      </c>
      <c r="K124">
        <v>0</v>
      </c>
      <c r="L124" t="b">
        <v>1</v>
      </c>
      <c r="M124" t="s">
        <v>171</v>
      </c>
      <c r="N124">
        <v>30</v>
      </c>
      <c r="O124" t="b">
        <v>1</v>
      </c>
      <c r="P124" t="s">
        <v>23</v>
      </c>
      <c r="Q124">
        <v>3</v>
      </c>
      <c r="R124">
        <v>1</v>
      </c>
      <c r="S124">
        <v>2</v>
      </c>
      <c r="T124">
        <v>312</v>
      </c>
    </row>
    <row r="125" spans="1:20">
      <c r="A125" t="s">
        <v>172</v>
      </c>
      <c r="B125" t="s">
        <v>173</v>
      </c>
      <c r="C125">
        <v>250</v>
      </c>
      <c r="D125">
        <v>1</v>
      </c>
      <c r="E125" s="1">
        <v>45413.875462962962</v>
      </c>
      <c r="F125" s="1">
        <v>45413.875462962962</v>
      </c>
      <c r="G125">
        <v>250</v>
      </c>
      <c r="H125">
        <v>250</v>
      </c>
      <c r="I125">
        <v>250</v>
      </c>
      <c r="J125">
        <v>250</v>
      </c>
      <c r="K125">
        <v>588</v>
      </c>
      <c r="L125" t="b">
        <v>0</v>
      </c>
      <c r="M125" t="s">
        <v>174</v>
      </c>
      <c r="O125" t="b">
        <v>0</v>
      </c>
      <c r="P125" t="s">
        <v>36</v>
      </c>
    </row>
    <row r="126" spans="1:20">
      <c r="A126" t="s">
        <v>24</v>
      </c>
      <c r="B126" t="s">
        <v>21</v>
      </c>
      <c r="C126">
        <v>4120</v>
      </c>
      <c r="D126">
        <v>40</v>
      </c>
      <c r="E126" s="1">
        <v>44796.736898148149</v>
      </c>
      <c r="F126" s="1">
        <v>46000.800543981481</v>
      </c>
      <c r="G126">
        <v>103</v>
      </c>
      <c r="H126">
        <v>103</v>
      </c>
      <c r="I126">
        <v>103</v>
      </c>
      <c r="J126">
        <v>103</v>
      </c>
      <c r="K126">
        <v>1</v>
      </c>
      <c r="L126" t="b">
        <v>1</v>
      </c>
      <c r="M126" t="s">
        <v>175</v>
      </c>
      <c r="N126">
        <v>30</v>
      </c>
      <c r="O126" t="b">
        <v>1</v>
      </c>
      <c r="P126" t="s">
        <v>28</v>
      </c>
      <c r="Q126">
        <v>3</v>
      </c>
      <c r="R126">
        <v>4</v>
      </c>
      <c r="S126">
        <v>4</v>
      </c>
      <c r="T126">
        <v>344</v>
      </c>
    </row>
    <row r="127" spans="1:20">
      <c r="A127" t="s">
        <v>24</v>
      </c>
      <c r="B127" t="s">
        <v>21</v>
      </c>
      <c r="C127">
        <v>2409</v>
      </c>
      <c r="D127">
        <v>22</v>
      </c>
      <c r="E127" s="1">
        <v>44824.330543981479</v>
      </c>
      <c r="F127" s="1">
        <v>45978.801886574074</v>
      </c>
      <c r="G127">
        <v>109.5</v>
      </c>
      <c r="H127">
        <v>100</v>
      </c>
      <c r="I127">
        <v>309</v>
      </c>
      <c r="J127">
        <v>100</v>
      </c>
      <c r="K127">
        <v>23</v>
      </c>
      <c r="L127" t="b">
        <v>1</v>
      </c>
      <c r="M127" t="s">
        <v>176</v>
      </c>
      <c r="N127">
        <v>30</v>
      </c>
      <c r="O127" t="b">
        <v>1</v>
      </c>
      <c r="P127" t="s">
        <v>34</v>
      </c>
      <c r="Q127">
        <v>3</v>
      </c>
      <c r="R127">
        <v>3</v>
      </c>
      <c r="S127">
        <v>3</v>
      </c>
      <c r="T127">
        <v>333</v>
      </c>
    </row>
    <row r="128" spans="1:20">
      <c r="A128" t="s">
        <v>20</v>
      </c>
      <c r="B128" t="s">
        <v>21</v>
      </c>
      <c r="C128">
        <v>7000</v>
      </c>
      <c r="D128">
        <v>15</v>
      </c>
      <c r="E128" s="1">
        <v>45580.617962962962</v>
      </c>
      <c r="F128" s="1">
        <v>45976.805474537039</v>
      </c>
      <c r="G128">
        <v>466.666666666666</v>
      </c>
      <c r="H128">
        <v>250</v>
      </c>
      <c r="I128">
        <v>3500</v>
      </c>
      <c r="J128">
        <v>250</v>
      </c>
      <c r="K128">
        <v>25</v>
      </c>
      <c r="L128" t="b">
        <v>1</v>
      </c>
      <c r="M128" t="s">
        <v>177</v>
      </c>
      <c r="N128">
        <v>30</v>
      </c>
      <c r="O128" t="b">
        <v>1</v>
      </c>
      <c r="P128" t="s">
        <v>103</v>
      </c>
      <c r="Q128">
        <v>3</v>
      </c>
      <c r="R128">
        <v>2</v>
      </c>
      <c r="S128">
        <v>4</v>
      </c>
      <c r="T128">
        <v>324</v>
      </c>
    </row>
    <row r="129" spans="1:20">
      <c r="A129" t="s">
        <v>24</v>
      </c>
      <c r="B129" t="s">
        <v>21</v>
      </c>
      <c r="C129">
        <v>103</v>
      </c>
      <c r="D129">
        <v>1</v>
      </c>
      <c r="E129" s="1">
        <v>44614.356944444444</v>
      </c>
      <c r="F129" s="1">
        <v>44614.356944444444</v>
      </c>
      <c r="G129">
        <v>103</v>
      </c>
      <c r="H129">
        <v>103</v>
      </c>
      <c r="I129">
        <v>103</v>
      </c>
      <c r="J129">
        <v>103</v>
      </c>
      <c r="K129">
        <v>1388</v>
      </c>
      <c r="L129" t="b">
        <v>0</v>
      </c>
      <c r="M129" t="s">
        <v>178</v>
      </c>
      <c r="O129" t="b">
        <v>0</v>
      </c>
      <c r="P129" t="s">
        <v>36</v>
      </c>
    </row>
    <row r="130" spans="1:20">
      <c r="A130" t="s">
        <v>24</v>
      </c>
      <c r="B130" t="s">
        <v>21</v>
      </c>
      <c r="C130">
        <v>1050</v>
      </c>
      <c r="D130">
        <v>12</v>
      </c>
      <c r="E130" s="1">
        <v>44744.744444444441</v>
      </c>
      <c r="F130" s="1">
        <v>45079.747685185182</v>
      </c>
      <c r="G130">
        <v>87.5</v>
      </c>
      <c r="H130">
        <v>100</v>
      </c>
      <c r="I130">
        <v>100</v>
      </c>
      <c r="J130">
        <v>50</v>
      </c>
      <c r="K130">
        <v>922</v>
      </c>
      <c r="L130" t="b">
        <v>1</v>
      </c>
      <c r="M130" t="s">
        <v>179</v>
      </c>
      <c r="N130">
        <v>30</v>
      </c>
      <c r="O130" t="b">
        <v>1</v>
      </c>
      <c r="P130" t="s">
        <v>26</v>
      </c>
      <c r="Q130">
        <v>1</v>
      </c>
      <c r="R130">
        <v>1</v>
      </c>
      <c r="S130">
        <v>2</v>
      </c>
      <c r="T130">
        <v>112</v>
      </c>
    </row>
    <row r="131" spans="1:20">
      <c r="A131" t="s">
        <v>24</v>
      </c>
      <c r="B131" t="s">
        <v>21</v>
      </c>
      <c r="C131">
        <v>40</v>
      </c>
      <c r="D131">
        <v>1</v>
      </c>
      <c r="E131" s="1">
        <v>44848.886354166665</v>
      </c>
      <c r="F131" s="1">
        <v>44848.886354166665</v>
      </c>
      <c r="G131">
        <v>40</v>
      </c>
      <c r="H131">
        <v>40</v>
      </c>
      <c r="I131">
        <v>40</v>
      </c>
      <c r="J131">
        <v>40</v>
      </c>
      <c r="K131">
        <v>1153</v>
      </c>
      <c r="L131" t="b">
        <v>0</v>
      </c>
      <c r="M131" t="s">
        <v>180</v>
      </c>
      <c r="O131" t="b">
        <v>0</v>
      </c>
      <c r="P131" t="s">
        <v>36</v>
      </c>
    </row>
    <row r="132" spans="1:20">
      <c r="A132" t="s">
        <v>24</v>
      </c>
      <c r="B132" t="s">
        <v>21</v>
      </c>
      <c r="C132">
        <v>600</v>
      </c>
      <c r="D132">
        <v>1</v>
      </c>
      <c r="E132" s="1">
        <v>45471.612986111111</v>
      </c>
      <c r="F132" s="1">
        <v>45471.612986111111</v>
      </c>
      <c r="G132">
        <v>600</v>
      </c>
      <c r="H132">
        <v>600</v>
      </c>
      <c r="I132">
        <v>600</v>
      </c>
      <c r="J132">
        <v>600</v>
      </c>
      <c r="K132">
        <v>530</v>
      </c>
      <c r="L132" t="b">
        <v>0</v>
      </c>
      <c r="M132" t="s">
        <v>181</v>
      </c>
      <c r="O132" t="b">
        <v>0</v>
      </c>
      <c r="P132" t="s">
        <v>36</v>
      </c>
    </row>
    <row r="133" spans="1:20">
      <c r="A133" t="s">
        <v>20</v>
      </c>
      <c r="B133" t="s">
        <v>21</v>
      </c>
      <c r="C133">
        <v>1400</v>
      </c>
      <c r="D133">
        <v>14</v>
      </c>
      <c r="E133" s="1">
        <v>45585.612291666665</v>
      </c>
      <c r="F133" s="1">
        <v>45981.800775462965</v>
      </c>
      <c r="G133">
        <v>100</v>
      </c>
      <c r="H133">
        <v>100</v>
      </c>
      <c r="I133">
        <v>100</v>
      </c>
      <c r="J133">
        <v>100</v>
      </c>
      <c r="K133">
        <v>20</v>
      </c>
      <c r="L133" t="b">
        <v>1</v>
      </c>
      <c r="M133" t="s">
        <v>182</v>
      </c>
      <c r="N133">
        <v>30</v>
      </c>
      <c r="O133" t="b">
        <v>1</v>
      </c>
      <c r="P133" t="s">
        <v>23</v>
      </c>
      <c r="Q133">
        <v>3</v>
      </c>
      <c r="R133">
        <v>1</v>
      </c>
      <c r="S133">
        <v>2</v>
      </c>
      <c r="T133">
        <v>312</v>
      </c>
    </row>
    <row r="134" spans="1:20">
      <c r="A134" t="s">
        <v>183</v>
      </c>
      <c r="B134" t="s">
        <v>21</v>
      </c>
      <c r="C134">
        <v>75</v>
      </c>
      <c r="D134">
        <v>1</v>
      </c>
      <c r="E134" s="1">
        <v>45552.602175925924</v>
      </c>
      <c r="F134" s="1">
        <v>45552.602175925924</v>
      </c>
      <c r="G134">
        <v>75</v>
      </c>
      <c r="H134">
        <v>75</v>
      </c>
      <c r="I134">
        <v>75</v>
      </c>
      <c r="J134">
        <v>75</v>
      </c>
      <c r="K134">
        <v>450</v>
      </c>
      <c r="L134" t="b">
        <v>0</v>
      </c>
      <c r="M134" t="s">
        <v>184</v>
      </c>
      <c r="O134" t="b">
        <v>0</v>
      </c>
      <c r="P134" t="s">
        <v>36</v>
      </c>
    </row>
    <row r="135" spans="1:20">
      <c r="A135" t="s">
        <v>24</v>
      </c>
      <c r="B135" t="s">
        <v>21</v>
      </c>
      <c r="C135">
        <v>4560</v>
      </c>
      <c r="D135">
        <v>41</v>
      </c>
      <c r="E135" s="1">
        <v>44805.895868055559</v>
      </c>
      <c r="F135" s="1">
        <v>45992.809328703705</v>
      </c>
      <c r="G135">
        <v>111.219512195121</v>
      </c>
      <c r="H135">
        <v>51.5</v>
      </c>
      <c r="I135">
        <v>2500</v>
      </c>
      <c r="J135">
        <v>51.5</v>
      </c>
      <c r="K135">
        <v>9</v>
      </c>
      <c r="L135" t="b">
        <v>1</v>
      </c>
      <c r="M135" t="s">
        <v>185</v>
      </c>
      <c r="N135">
        <v>29</v>
      </c>
      <c r="O135" t="b">
        <v>1</v>
      </c>
      <c r="P135" t="s">
        <v>28</v>
      </c>
      <c r="Q135">
        <v>3</v>
      </c>
      <c r="R135">
        <v>4</v>
      </c>
      <c r="S135">
        <v>4</v>
      </c>
      <c r="T135">
        <v>344</v>
      </c>
    </row>
    <row r="136" spans="1:20">
      <c r="A136" t="s">
        <v>24</v>
      </c>
      <c r="B136" t="s">
        <v>21</v>
      </c>
      <c r="C136">
        <v>8034</v>
      </c>
      <c r="D136">
        <v>39</v>
      </c>
      <c r="E136" s="1">
        <v>44830.739479166667</v>
      </c>
      <c r="F136" s="1">
        <v>45987.800381944442</v>
      </c>
      <c r="G136">
        <v>206</v>
      </c>
      <c r="H136">
        <v>206</v>
      </c>
      <c r="I136">
        <v>206</v>
      </c>
      <c r="J136">
        <v>206</v>
      </c>
      <c r="K136">
        <v>14</v>
      </c>
      <c r="L136" t="b">
        <v>1</v>
      </c>
      <c r="M136" t="s">
        <v>186</v>
      </c>
      <c r="N136">
        <v>30</v>
      </c>
      <c r="O136" t="b">
        <v>1</v>
      </c>
      <c r="P136" t="s">
        <v>28</v>
      </c>
      <c r="Q136">
        <v>3</v>
      </c>
      <c r="R136">
        <v>4</v>
      </c>
      <c r="S136">
        <v>4</v>
      </c>
      <c r="T136">
        <v>344</v>
      </c>
    </row>
    <row r="137" spans="1:20">
      <c r="A137" t="s">
        <v>20</v>
      </c>
      <c r="B137" t="s">
        <v>21</v>
      </c>
      <c r="C137">
        <v>2100</v>
      </c>
      <c r="D137">
        <v>14</v>
      </c>
      <c r="E137" s="1">
        <v>45597.647326388891</v>
      </c>
      <c r="F137" s="1">
        <v>45992.809618055559</v>
      </c>
      <c r="G137">
        <v>150</v>
      </c>
      <c r="H137">
        <v>150</v>
      </c>
      <c r="I137">
        <v>150</v>
      </c>
      <c r="J137">
        <v>150</v>
      </c>
      <c r="K137">
        <v>9</v>
      </c>
      <c r="L137" t="b">
        <v>1</v>
      </c>
      <c r="M137" t="s">
        <v>187</v>
      </c>
      <c r="N137">
        <v>29</v>
      </c>
      <c r="O137" t="b">
        <v>1</v>
      </c>
      <c r="P137" t="s">
        <v>23</v>
      </c>
      <c r="Q137">
        <v>3</v>
      </c>
      <c r="R137">
        <v>1</v>
      </c>
      <c r="S137">
        <v>3</v>
      </c>
      <c r="T137">
        <v>313</v>
      </c>
    </row>
    <row r="138" spans="1:20">
      <c r="A138" t="s">
        <v>20</v>
      </c>
      <c r="B138" t="s">
        <v>21</v>
      </c>
      <c r="C138">
        <v>309</v>
      </c>
      <c r="D138">
        <v>3</v>
      </c>
      <c r="E138" s="1">
        <v>44790.740682870368</v>
      </c>
      <c r="F138" s="1">
        <v>44851.740659722222</v>
      </c>
      <c r="G138">
        <v>103</v>
      </c>
      <c r="H138">
        <v>103</v>
      </c>
      <c r="I138">
        <v>103</v>
      </c>
      <c r="J138">
        <v>103</v>
      </c>
      <c r="K138">
        <v>1150</v>
      </c>
      <c r="L138" t="b">
        <v>1</v>
      </c>
      <c r="M138" t="s">
        <v>188</v>
      </c>
      <c r="N138">
        <v>30</v>
      </c>
      <c r="O138" t="b">
        <v>1</v>
      </c>
      <c r="P138" t="s">
        <v>26</v>
      </c>
      <c r="Q138">
        <v>1</v>
      </c>
      <c r="R138">
        <v>1</v>
      </c>
      <c r="S138">
        <v>1</v>
      </c>
      <c r="T138">
        <v>111</v>
      </c>
    </row>
    <row r="139" spans="1:20">
      <c r="A139" t="s">
        <v>24</v>
      </c>
      <c r="B139" t="s">
        <v>21</v>
      </c>
      <c r="C139">
        <v>3553.5</v>
      </c>
      <c r="D139">
        <v>23</v>
      </c>
      <c r="E139" s="1">
        <v>44835.897905092592</v>
      </c>
      <c r="F139" s="1">
        <v>45505.638460648152</v>
      </c>
      <c r="G139">
        <v>154.5</v>
      </c>
      <c r="H139">
        <v>154.5</v>
      </c>
      <c r="I139">
        <v>154.5</v>
      </c>
      <c r="J139">
        <v>154.5</v>
      </c>
      <c r="K139">
        <v>496</v>
      </c>
      <c r="L139" t="b">
        <v>1</v>
      </c>
      <c r="M139" t="s">
        <v>189</v>
      </c>
      <c r="N139">
        <v>30</v>
      </c>
      <c r="O139" t="b">
        <v>1</v>
      </c>
      <c r="P139" t="s">
        <v>26</v>
      </c>
      <c r="Q139">
        <v>1</v>
      </c>
      <c r="R139">
        <v>3</v>
      </c>
      <c r="S139">
        <v>4</v>
      </c>
      <c r="T139">
        <v>134</v>
      </c>
    </row>
    <row r="140" spans="1:20">
      <c r="A140" t="s">
        <v>24</v>
      </c>
      <c r="B140" t="s">
        <v>21</v>
      </c>
      <c r="C140">
        <v>2909</v>
      </c>
      <c r="D140">
        <v>8</v>
      </c>
      <c r="E140" s="1">
        <v>44821.74181712963</v>
      </c>
      <c r="F140" s="1">
        <v>45923.803067129629</v>
      </c>
      <c r="G140">
        <v>363.625</v>
      </c>
      <c r="H140">
        <v>300</v>
      </c>
      <c r="I140">
        <v>1000</v>
      </c>
      <c r="J140">
        <v>100</v>
      </c>
      <c r="K140">
        <v>78</v>
      </c>
      <c r="L140" t="b">
        <v>1</v>
      </c>
      <c r="M140" t="s">
        <v>190</v>
      </c>
      <c r="N140">
        <v>138</v>
      </c>
      <c r="O140" t="b">
        <v>0</v>
      </c>
      <c r="P140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A731-AE0B-435F-B9B6-651783AD0326}">
  <dimension ref="B4:G34"/>
  <sheetViews>
    <sheetView tabSelected="1" workbookViewId="0">
      <selection activeCell="F25" sqref="F25"/>
    </sheetView>
  </sheetViews>
  <sheetFormatPr defaultRowHeight="15"/>
  <cols>
    <col min="2" max="2" width="16.42578125" bestFit="1" customWidth="1"/>
    <col min="3" max="3" width="32.7109375" customWidth="1"/>
    <col min="4" max="4" width="36.28515625" customWidth="1"/>
    <col min="5" max="5" width="32.42578125" bestFit="1" customWidth="1"/>
    <col min="6" max="6" width="32.7109375" bestFit="1" customWidth="1"/>
    <col min="7" max="7" width="18" bestFit="1" customWidth="1"/>
    <col min="8" max="8" width="24.85546875" bestFit="1" customWidth="1"/>
    <col min="9" max="9" width="21.28515625" bestFit="1" customWidth="1"/>
  </cols>
  <sheetData>
    <row r="4" spans="2:7">
      <c r="B4" s="8" t="s">
        <v>15</v>
      </c>
      <c r="C4" t="s">
        <v>191</v>
      </c>
      <c r="D4" t="s">
        <v>192</v>
      </c>
      <c r="E4" t="s">
        <v>193</v>
      </c>
      <c r="F4" t="s">
        <v>194</v>
      </c>
      <c r="G4" t="s">
        <v>195</v>
      </c>
    </row>
    <row r="5" spans="2:7">
      <c r="B5" t="s">
        <v>103</v>
      </c>
      <c r="C5" s="5">
        <v>1780</v>
      </c>
      <c r="D5" s="5">
        <v>445</v>
      </c>
      <c r="E5" s="5">
        <v>250</v>
      </c>
      <c r="F5" s="5">
        <v>515</v>
      </c>
      <c r="G5">
        <v>4</v>
      </c>
    </row>
    <row r="6" spans="2:7">
      <c r="B6" t="s">
        <v>28</v>
      </c>
      <c r="C6" s="5">
        <v>2016.72</v>
      </c>
      <c r="D6" s="5">
        <v>118.63058823529411</v>
      </c>
      <c r="E6" s="5">
        <v>51.5</v>
      </c>
      <c r="F6" s="5">
        <v>250</v>
      </c>
      <c r="G6">
        <v>17</v>
      </c>
    </row>
    <row r="7" spans="2:7">
      <c r="B7" t="s">
        <v>26</v>
      </c>
      <c r="C7" s="5">
        <v>2919.1499999999996</v>
      </c>
      <c r="D7" s="5">
        <v>91.223437499999989</v>
      </c>
      <c r="E7" s="5">
        <v>10.3</v>
      </c>
      <c r="F7" s="5">
        <v>257.5</v>
      </c>
      <c r="G7">
        <v>32</v>
      </c>
    </row>
    <row r="8" spans="2:7">
      <c r="B8" t="s">
        <v>97</v>
      </c>
      <c r="C8" s="5">
        <v>328.75</v>
      </c>
      <c r="D8" s="5">
        <v>109.58333333333333</v>
      </c>
      <c r="E8" s="5">
        <v>100</v>
      </c>
      <c r="F8" s="5">
        <v>128.75</v>
      </c>
      <c r="G8">
        <v>3</v>
      </c>
    </row>
    <row r="9" spans="2:7">
      <c r="B9" t="s">
        <v>34</v>
      </c>
      <c r="C9" s="5">
        <v>976.6</v>
      </c>
      <c r="D9" s="5">
        <v>61.037500000000001</v>
      </c>
      <c r="E9" s="5">
        <v>15.45</v>
      </c>
      <c r="F9" s="5">
        <v>100</v>
      </c>
      <c r="G9">
        <v>16</v>
      </c>
    </row>
    <row r="10" spans="2:7">
      <c r="B10" t="s">
        <v>36</v>
      </c>
      <c r="C10" s="5">
        <v>32268.25</v>
      </c>
      <c r="D10" s="5">
        <v>1075.6083333333333</v>
      </c>
      <c r="E10" s="5">
        <v>12</v>
      </c>
      <c r="F10" s="5">
        <v>10000</v>
      </c>
      <c r="G10">
        <v>30</v>
      </c>
    </row>
    <row r="11" spans="2:7">
      <c r="B11" t="s">
        <v>23</v>
      </c>
      <c r="C11" s="5">
        <v>3042.6499999999996</v>
      </c>
      <c r="D11" s="5">
        <v>98.149999999999991</v>
      </c>
      <c r="E11" s="5">
        <v>10.3</v>
      </c>
      <c r="F11" s="5">
        <v>257.5</v>
      </c>
      <c r="G11">
        <v>31</v>
      </c>
    </row>
    <row r="12" spans="2:7">
      <c r="B12" t="s">
        <v>52</v>
      </c>
      <c r="C12" s="5">
        <v>3806</v>
      </c>
      <c r="D12" s="5">
        <v>634.33333333333337</v>
      </c>
      <c r="E12" s="5">
        <v>51.5</v>
      </c>
      <c r="F12" s="5">
        <v>1500</v>
      </c>
      <c r="G12">
        <v>6</v>
      </c>
    </row>
    <row r="13" spans="2:7">
      <c r="B13" t="s">
        <v>196</v>
      </c>
      <c r="C13" s="5">
        <v>47138.12000000001</v>
      </c>
      <c r="D13" s="5">
        <v>339.123165467626</v>
      </c>
      <c r="E13" s="5">
        <v>10.3</v>
      </c>
      <c r="F13" s="5">
        <v>10000</v>
      </c>
      <c r="G13">
        <v>139</v>
      </c>
    </row>
    <row r="16" spans="2:7">
      <c r="B16" s="11" t="s">
        <v>197</v>
      </c>
      <c r="C16" s="12"/>
      <c r="D16" s="12"/>
    </row>
    <row r="17" spans="2:6">
      <c r="B17" s="9" t="s">
        <v>198</v>
      </c>
      <c r="C17" s="9"/>
      <c r="D17" s="9"/>
      <c r="E17" s="15"/>
      <c r="F17" s="15"/>
    </row>
    <row r="18" spans="2:6">
      <c r="B18" s="9" t="s">
        <v>199</v>
      </c>
      <c r="C18" s="9"/>
      <c r="D18" s="9"/>
      <c r="E18" s="15"/>
      <c r="F18" s="15"/>
    </row>
    <row r="19" spans="2:6">
      <c r="B19" s="10" t="s">
        <v>200</v>
      </c>
      <c r="C19" s="10"/>
      <c r="D19" s="10"/>
    </row>
    <row r="22" spans="2:6">
      <c r="B22" s="11" t="s">
        <v>201</v>
      </c>
      <c r="C22" s="12"/>
      <c r="D22" s="12"/>
      <c r="E22" s="12"/>
    </row>
    <row r="23" spans="2:6">
      <c r="B23" s="10" t="s">
        <v>202</v>
      </c>
      <c r="C23" s="10"/>
      <c r="D23" s="10"/>
      <c r="E23" s="10"/>
    </row>
    <row r="24" spans="2:6">
      <c r="B24" s="13" t="s">
        <v>203</v>
      </c>
      <c r="C24" s="10"/>
      <c r="D24" s="10"/>
      <c r="E24" s="10"/>
    </row>
    <row r="27" spans="2:6">
      <c r="B27" s="14" t="s">
        <v>204</v>
      </c>
      <c r="C27" s="12"/>
      <c r="D27" s="12"/>
      <c r="E27" s="12"/>
    </row>
    <row r="28" spans="2:6">
      <c r="B28" s="12" t="s">
        <v>205</v>
      </c>
      <c r="C28" s="12"/>
      <c r="D28" s="12"/>
      <c r="E28" s="12"/>
    </row>
    <row r="29" spans="2:6">
      <c r="B29" s="12" t="s">
        <v>206</v>
      </c>
      <c r="C29" s="12"/>
      <c r="D29" s="12"/>
      <c r="E29" s="12"/>
    </row>
    <row r="32" spans="2:6">
      <c r="B32" s="14" t="s">
        <v>207</v>
      </c>
      <c r="C32" s="12"/>
      <c r="D32" s="12"/>
      <c r="E32" s="12"/>
    </row>
    <row r="33" spans="2:5">
      <c r="B33" s="12" t="s">
        <v>208</v>
      </c>
      <c r="C33" s="12"/>
      <c r="D33" s="12"/>
      <c r="E33" s="12"/>
    </row>
    <row r="34" spans="2:5">
      <c r="B34" s="12" t="s">
        <v>209</v>
      </c>
      <c r="C34" s="12"/>
      <c r="D34" s="12"/>
      <c r="E3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Chad Gallego</cp:lastModifiedBy>
  <cp:revision/>
  <dcterms:created xsi:type="dcterms:W3CDTF">2026-01-24T00:37:50Z</dcterms:created>
  <dcterms:modified xsi:type="dcterms:W3CDTF">2026-03-02T09:14:51Z</dcterms:modified>
  <cp:category/>
  <cp:contentStatus/>
</cp:coreProperties>
</file>